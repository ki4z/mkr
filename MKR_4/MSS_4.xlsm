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НС\Desktop\"/>
    </mc:Choice>
  </mc:AlternateContent>
  <bookViews>
    <workbookView xWindow="0" yWindow="0" windowWidth="23040" windowHeight="8820"/>
  </bookViews>
  <sheets>
    <sheet name="Лист1" sheetId="1" r:id="rId1"/>
    <sheet name="Лист2" sheetId="2" r:id="rId2"/>
    <sheet name="Лист3" sheetId="3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9" i="1" l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AO9" i="1"/>
  <c r="AP11" i="1"/>
  <c r="AP12" i="1" s="1"/>
  <c r="AQ12" i="1" s="1"/>
  <c r="AO12" i="1"/>
  <c r="AO13" i="1"/>
  <c r="AP10" i="1"/>
  <c r="AQ10" i="1"/>
  <c r="AQ11" i="1" s="1"/>
  <c r="AR10" i="1"/>
  <c r="AS10" i="1"/>
  <c r="AS11" i="1" s="1"/>
  <c r="AT10" i="1"/>
  <c r="AU10" i="1"/>
  <c r="AU11" i="1" s="1"/>
  <c r="AV10" i="1"/>
  <c r="AW10" i="1"/>
  <c r="AW11" i="1" s="1"/>
  <c r="AX10" i="1"/>
  <c r="AY10" i="1"/>
  <c r="AY11" i="1" s="1"/>
  <c r="AZ10" i="1"/>
  <c r="BA10" i="1"/>
  <c r="BA11" i="1" s="1"/>
  <c r="BB10" i="1"/>
  <c r="BC10" i="1"/>
  <c r="BC11" i="1" s="1"/>
  <c r="AO10" i="1"/>
  <c r="BB11" i="1"/>
  <c r="AZ11" i="1"/>
  <c r="AX11" i="1"/>
  <c r="AV11" i="1"/>
  <c r="AT11" i="1"/>
  <c r="AR11" i="1"/>
  <c r="AO11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AO8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AO7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AO6" i="1"/>
  <c r="Y12" i="1"/>
  <c r="X13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X45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X40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X39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AI35" i="1"/>
  <c r="AJ35" i="1"/>
  <c r="AK35" i="1"/>
  <c r="AL35" i="1"/>
  <c r="AH35" i="1"/>
  <c r="Y35" i="1"/>
  <c r="Z35" i="1"/>
  <c r="AA35" i="1"/>
  <c r="AB35" i="1"/>
  <c r="AC35" i="1"/>
  <c r="AD35" i="1"/>
  <c r="AE35" i="1"/>
  <c r="AF35" i="1"/>
  <c r="AG35" i="1"/>
  <c r="X35" i="1"/>
  <c r="AI25" i="1"/>
  <c r="AG30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X34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AL30" i="1"/>
  <c r="AI30" i="1"/>
  <c r="AJ30" i="1"/>
  <c r="AK30" i="1"/>
  <c r="AH30" i="1"/>
  <c r="AF30" i="1"/>
  <c r="AE30" i="1"/>
  <c r="AD30" i="1"/>
  <c r="AD24" i="1"/>
  <c r="AD25" i="1"/>
  <c r="AC30" i="1"/>
  <c r="Y30" i="1"/>
  <c r="Z30" i="1"/>
  <c r="AA30" i="1"/>
  <c r="AB30" i="1"/>
  <c r="X30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X29" i="1"/>
  <c r="X24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X28" i="1"/>
  <c r="AL25" i="1"/>
  <c r="AK25" i="1"/>
  <c r="AG25" i="1"/>
  <c r="AF25" i="1"/>
  <c r="AE25" i="1"/>
  <c r="AC25" i="1"/>
  <c r="Y24" i="1"/>
  <c r="Z24" i="1"/>
  <c r="AA24" i="1"/>
  <c r="AB24" i="1"/>
  <c r="AC24" i="1"/>
  <c r="AE24" i="1"/>
  <c r="AF24" i="1"/>
  <c r="AG24" i="1"/>
  <c r="AH24" i="1"/>
  <c r="AI24" i="1"/>
  <c r="AJ24" i="1"/>
  <c r="AK24" i="1"/>
  <c r="AL24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Y23" i="1"/>
  <c r="X23" i="1"/>
  <c r="Y25" i="1"/>
  <c r="Z25" i="1"/>
  <c r="AA25" i="1"/>
  <c r="AB25" i="1"/>
  <c r="X25" i="1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P1" i="2"/>
  <c r="P3" i="2" s="1"/>
  <c r="O1" i="2"/>
  <c r="O3" i="2" s="1"/>
  <c r="N1" i="2"/>
  <c r="N3" i="2" s="1"/>
  <c r="L1" i="2"/>
  <c r="L3" i="2" s="1"/>
  <c r="K1" i="2"/>
  <c r="K3" i="2" s="1"/>
  <c r="J1" i="2"/>
  <c r="J3" i="2" s="1"/>
  <c r="I1" i="2"/>
  <c r="I3" i="2" s="1"/>
  <c r="H1" i="2"/>
  <c r="H3" i="2" s="1"/>
  <c r="G1" i="2"/>
  <c r="G3" i="2" s="1"/>
  <c r="F1" i="2"/>
  <c r="F3" i="2" s="1"/>
  <c r="E1" i="2"/>
  <c r="E3" i="2" s="1"/>
  <c r="D1" i="2"/>
  <c r="D3" i="2" s="1"/>
  <c r="C1" i="2"/>
  <c r="C3" i="2" s="1"/>
  <c r="B1" i="2"/>
  <c r="B3" i="2" s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X18" i="1"/>
  <c r="X12" i="1"/>
  <c r="Y8" i="1"/>
  <c r="Z8" i="1"/>
  <c r="AA8" i="1"/>
  <c r="AB8" i="1"/>
  <c r="X8" i="1"/>
  <c r="X7" i="1"/>
  <c r="AH6" i="1"/>
  <c r="AI6" i="1"/>
  <c r="AJ6" i="1"/>
  <c r="AK6" i="1"/>
  <c r="AL6" i="1"/>
  <c r="AG6" i="1"/>
  <c r="AF6" i="1"/>
  <c r="AE6" i="1"/>
  <c r="AD6" i="1"/>
  <c r="AC6" i="1"/>
  <c r="Y6" i="1"/>
  <c r="Z6" i="1"/>
  <c r="AA6" i="1"/>
  <c r="AB6" i="1"/>
  <c r="X6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E63" i="1"/>
  <c r="E64" i="1" s="1"/>
  <c r="E65" i="1" s="1"/>
  <c r="E66" i="1" s="1"/>
  <c r="E67" i="1" s="1"/>
  <c r="E61" i="1"/>
  <c r="E60" i="1" s="1"/>
  <c r="E59" i="1" s="1"/>
  <c r="E58" i="1" s="1"/>
  <c r="E57" i="1" s="1"/>
  <c r="T53" i="1"/>
  <c r="S53" i="1"/>
  <c r="R53" i="1"/>
  <c r="Q53" i="1"/>
  <c r="P53" i="1"/>
  <c r="O53" i="1"/>
  <c r="N52" i="1"/>
  <c r="L50" i="1"/>
  <c r="M51" i="1"/>
  <c r="K49" i="1"/>
  <c r="H47" i="1"/>
  <c r="I47" i="1"/>
  <c r="J47" i="1"/>
  <c r="H48" i="1"/>
  <c r="I48" i="1"/>
  <c r="J48" i="1"/>
  <c r="G48" i="1"/>
  <c r="G47" i="1"/>
  <c r="AC10" i="1" l="1"/>
  <c r="J49" i="1"/>
  <c r="S54" i="1"/>
  <c r="T54" i="1"/>
  <c r="T44" i="1"/>
  <c r="R54" i="1"/>
  <c r="Q54" i="1"/>
  <c r="P54" i="1"/>
  <c r="O54" i="1"/>
  <c r="N53" i="1"/>
  <c r="M52" i="1"/>
  <c r="L51" i="1"/>
  <c r="K50" i="1"/>
  <c r="G49" i="1"/>
  <c r="H49" i="1"/>
  <c r="I49" i="1"/>
  <c r="F49" i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E50" i="1"/>
  <c r="E51" i="1" s="1"/>
  <c r="E52" i="1" s="1"/>
  <c r="E53" i="1" s="1"/>
  <c r="E54" i="1" s="1"/>
  <c r="E48" i="1"/>
  <c r="E47" i="1" s="1"/>
  <c r="E46" i="1" s="1"/>
  <c r="E45" i="1" s="1"/>
  <c r="E44" i="1" s="1"/>
  <c r="O52" i="1"/>
  <c r="P52" i="1"/>
  <c r="Q52" i="1"/>
  <c r="R52" i="1"/>
  <c r="O50" i="1"/>
  <c r="P50" i="1"/>
  <c r="Q50" i="1"/>
  <c r="R50" i="1"/>
  <c r="O51" i="1"/>
  <c r="P51" i="1"/>
  <c r="Q51" i="1"/>
  <c r="R51" i="1"/>
  <c r="N51" i="1"/>
  <c r="N49" i="1"/>
  <c r="O49" i="1"/>
  <c r="P49" i="1"/>
  <c r="Q49" i="1"/>
  <c r="R49" i="1"/>
  <c r="N50" i="1"/>
  <c r="M50" i="1"/>
  <c r="M48" i="1"/>
  <c r="N48" i="1"/>
  <c r="O48" i="1"/>
  <c r="P48" i="1"/>
  <c r="Q48" i="1"/>
  <c r="R48" i="1"/>
  <c r="M49" i="1"/>
  <c r="L49" i="1"/>
  <c r="G45" i="1"/>
  <c r="H45" i="1"/>
  <c r="I45" i="1"/>
  <c r="J45" i="1"/>
  <c r="G46" i="1"/>
  <c r="H46" i="1"/>
  <c r="I46" i="1"/>
  <c r="J46" i="1"/>
  <c r="K45" i="1"/>
  <c r="L45" i="1"/>
  <c r="M45" i="1"/>
  <c r="N45" i="1"/>
  <c r="O45" i="1"/>
  <c r="P45" i="1"/>
  <c r="Q45" i="1"/>
  <c r="R45" i="1"/>
  <c r="K46" i="1"/>
  <c r="L46" i="1"/>
  <c r="M46" i="1"/>
  <c r="N46" i="1"/>
  <c r="O46" i="1"/>
  <c r="P46" i="1"/>
  <c r="Q46" i="1"/>
  <c r="R46" i="1"/>
  <c r="K47" i="1"/>
  <c r="L47" i="1"/>
  <c r="M47" i="1"/>
  <c r="N47" i="1"/>
  <c r="O47" i="1"/>
  <c r="P47" i="1"/>
  <c r="Q47" i="1"/>
  <c r="R47" i="1"/>
  <c r="K48" i="1"/>
  <c r="L48" i="1"/>
  <c r="S45" i="1"/>
  <c r="S46" i="1"/>
  <c r="S47" i="1"/>
  <c r="S49" i="1"/>
  <c r="S50" i="1"/>
  <c r="S51" i="1"/>
  <c r="S52" i="1"/>
  <c r="S48" i="1"/>
  <c r="T46" i="1"/>
  <c r="T47" i="1"/>
  <c r="T48" i="1"/>
  <c r="T49" i="1"/>
  <c r="T50" i="1"/>
  <c r="T51" i="1"/>
  <c r="T52" i="1"/>
  <c r="T45" i="1"/>
  <c r="F45" i="1"/>
  <c r="F46" i="1"/>
  <c r="F47" i="1"/>
  <c r="F48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F44" i="1"/>
  <c r="E37" i="1"/>
  <c r="E38" i="1" s="1"/>
  <c r="E39" i="1" s="1"/>
  <c r="E40" i="1" s="1"/>
  <c r="E41" i="1" s="1"/>
  <c r="E35" i="1"/>
  <c r="E34" i="1"/>
  <c r="E33" i="1" s="1"/>
  <c r="E32" i="1" s="1"/>
  <c r="E31" i="1" s="1"/>
  <c r="E24" i="1"/>
  <c r="E25" i="1" s="1"/>
  <c r="E26" i="1" s="1"/>
  <c r="E27" i="1" s="1"/>
  <c r="E28" i="1" s="1"/>
  <c r="E22" i="1"/>
  <c r="E21" i="1" s="1"/>
  <c r="E20" i="1" s="1"/>
  <c r="E19" i="1" s="1"/>
  <c r="E18" i="1" s="1"/>
  <c r="AP13" i="1" l="1"/>
  <c r="X10" i="1"/>
  <c r="Z10" i="1"/>
  <c r="AE10" i="1"/>
  <c r="AG10" i="1"/>
  <c r="AI10" i="1"/>
  <c r="AK10" i="1"/>
  <c r="AA10" i="1"/>
  <c r="Y10" i="1"/>
  <c r="AD10" i="1"/>
  <c r="AF10" i="1"/>
  <c r="AH10" i="1"/>
  <c r="AJ10" i="1"/>
  <c r="AL10" i="1"/>
  <c r="AB10" i="1"/>
  <c r="R14" i="1"/>
  <c r="R41" i="1" s="1"/>
  <c r="AJ9" i="1" s="1"/>
  <c r="AJ11" i="1" s="1"/>
  <c r="O14" i="1"/>
  <c r="O41" i="1" s="1"/>
  <c r="AG9" i="1" s="1"/>
  <c r="AG11" i="1" s="1"/>
  <c r="Q13" i="1"/>
  <c r="Q40" i="1" s="1"/>
  <c r="M1" i="2" s="1"/>
  <c r="M3" i="2" s="1"/>
  <c r="O13" i="1"/>
  <c r="O40" i="1" s="1"/>
  <c r="O66" i="1" s="1"/>
  <c r="P13" i="1"/>
  <c r="P40" i="1" s="1"/>
  <c r="Q12" i="1"/>
  <c r="O12" i="1"/>
  <c r="O39" i="1" s="1"/>
  <c r="N12" i="1"/>
  <c r="N39" i="1" s="1"/>
  <c r="O11" i="1"/>
  <c r="O38" i="1" s="1"/>
  <c r="O64" i="1" s="1"/>
  <c r="N11" i="1"/>
  <c r="L11" i="1"/>
  <c r="L38" i="1" s="1"/>
  <c r="AD9" i="1" s="1"/>
  <c r="AD11" i="1" s="1"/>
  <c r="Q10" i="1"/>
  <c r="Q37" i="1" s="1"/>
  <c r="Q63" i="1" s="1"/>
  <c r="P10" i="1"/>
  <c r="O10" i="1"/>
  <c r="O37" i="1" s="1"/>
  <c r="O63" i="1" s="1"/>
  <c r="L10" i="1"/>
  <c r="L37" i="1" s="1"/>
  <c r="R9" i="1"/>
  <c r="O9" i="1"/>
  <c r="O36" i="1" s="1"/>
  <c r="O62" i="1" s="1"/>
  <c r="L9" i="1"/>
  <c r="L36" i="1" s="1"/>
  <c r="L62" i="1" s="1"/>
  <c r="M9" i="1"/>
  <c r="J9" i="1"/>
  <c r="J36" i="1" s="1"/>
  <c r="AB9" i="1" s="1"/>
  <c r="AB11" i="1" s="1"/>
  <c r="G9" i="1"/>
  <c r="G36" i="1" s="1"/>
  <c r="Y9" i="1" s="1"/>
  <c r="Y11" i="1" s="1"/>
  <c r="R8" i="1"/>
  <c r="Q8" i="1"/>
  <c r="Q35" i="1" s="1"/>
  <c r="Q61" i="1" s="1"/>
  <c r="N8" i="1"/>
  <c r="J8" i="1"/>
  <c r="J35" i="1" s="1"/>
  <c r="I8" i="1"/>
  <c r="I35" i="1" s="1"/>
  <c r="P7" i="1"/>
  <c r="N7" i="1"/>
  <c r="O7" i="1"/>
  <c r="O34" i="1" s="1"/>
  <c r="O60" i="1" s="1"/>
  <c r="K7" i="1"/>
  <c r="H7" i="1"/>
  <c r="G7" i="1"/>
  <c r="G34" i="1" s="1"/>
  <c r="G60" i="1" s="1"/>
  <c r="G16" i="1"/>
  <c r="I7" i="1"/>
  <c r="J7" i="1"/>
  <c r="L7" i="1"/>
  <c r="L34" i="1" s="1"/>
  <c r="L60" i="1" s="1"/>
  <c r="M7" i="1"/>
  <c r="M34" i="1" s="1"/>
  <c r="M60" i="1" s="1"/>
  <c r="Q7" i="1"/>
  <c r="R7" i="1"/>
  <c r="G8" i="1"/>
  <c r="G35" i="1" s="1"/>
  <c r="H8" i="1"/>
  <c r="H35" i="1" s="1"/>
  <c r="L8" i="1"/>
  <c r="L35" i="1" s="1"/>
  <c r="L61" i="1" s="1"/>
  <c r="M8" i="1"/>
  <c r="O8" i="1"/>
  <c r="O35" i="1" s="1"/>
  <c r="O61" i="1" s="1"/>
  <c r="P8" i="1"/>
  <c r="P35" i="1" s="1"/>
  <c r="P61" i="1" s="1"/>
  <c r="H9" i="1"/>
  <c r="H36" i="1" s="1"/>
  <c r="Z9" i="1" s="1"/>
  <c r="Z11" i="1" s="1"/>
  <c r="K9" i="1"/>
  <c r="K36" i="1" s="1"/>
  <c r="N9" i="1"/>
  <c r="N36" i="1" s="1"/>
  <c r="N62" i="1" s="1"/>
  <c r="P9" i="1"/>
  <c r="M10" i="1"/>
  <c r="N10" i="1"/>
  <c r="N37" i="1" s="1"/>
  <c r="N63" i="1" s="1"/>
  <c r="R10" i="1"/>
  <c r="M11" i="1"/>
  <c r="M38" i="1" s="1"/>
  <c r="P11" i="1"/>
  <c r="P38" i="1" s="1"/>
  <c r="P64" i="1" s="1"/>
  <c r="M12" i="1"/>
  <c r="M39" i="1" s="1"/>
  <c r="AE9" i="1" s="1"/>
  <c r="AE11" i="1" s="1"/>
  <c r="R12" i="1"/>
  <c r="N13" i="1"/>
  <c r="N40" i="1" s="1"/>
  <c r="AF9" i="1" s="1"/>
  <c r="AF11" i="1" s="1"/>
  <c r="S13" i="1"/>
  <c r="S40" i="1" s="1"/>
  <c r="P14" i="1"/>
  <c r="P41" i="1" s="1"/>
  <c r="AH9" i="1" s="1"/>
  <c r="AH11" i="1" s="1"/>
  <c r="S14" i="1"/>
  <c r="S41" i="1" s="1"/>
  <c r="AK9" i="1" s="1"/>
  <c r="AK11" i="1" s="1"/>
  <c r="E11" i="1"/>
  <c r="F9" i="1"/>
  <c r="E9" i="1"/>
  <c r="AQ13" i="1" l="1"/>
  <c r="AR12" i="1"/>
  <c r="R39" i="1"/>
  <c r="R65" i="1" s="1"/>
  <c r="AJ25" i="1"/>
  <c r="M64" i="1"/>
  <c r="P36" i="1"/>
  <c r="P62" i="1" s="1"/>
  <c r="K62" i="1"/>
  <c r="M35" i="1"/>
  <c r="M61" i="1" s="1"/>
  <c r="H61" i="1"/>
  <c r="Y7" i="1"/>
  <c r="H16" i="1"/>
  <c r="J61" i="1"/>
  <c r="M36" i="1"/>
  <c r="M62" i="1" s="1"/>
  <c r="L63" i="1"/>
  <c r="P66" i="1"/>
  <c r="Q66" i="1"/>
  <c r="J62" i="1"/>
  <c r="L64" i="1"/>
  <c r="S67" i="1"/>
  <c r="H62" i="1"/>
  <c r="E8" i="1"/>
  <c r="E7" i="1" s="1"/>
  <c r="E6" i="1" s="1"/>
  <c r="E5" i="1" s="1"/>
  <c r="X20" i="1"/>
  <c r="Z20" i="1"/>
  <c r="AB20" i="1"/>
  <c r="Y20" i="1"/>
  <c r="E12" i="1"/>
  <c r="AC8" i="1"/>
  <c r="F35" i="1"/>
  <c r="F36" i="1"/>
  <c r="S66" i="1"/>
  <c r="R37" i="1"/>
  <c r="R63" i="1" s="1"/>
  <c r="M37" i="1"/>
  <c r="M63" i="1" s="1"/>
  <c r="G61" i="1"/>
  <c r="K34" i="1"/>
  <c r="K60" i="1" s="1"/>
  <c r="I61" i="1"/>
  <c r="N35" i="1"/>
  <c r="N61" i="1" s="1"/>
  <c r="R35" i="1"/>
  <c r="R61" i="1" s="1"/>
  <c r="N38" i="1"/>
  <c r="N64" i="1" s="1"/>
  <c r="N65" i="1"/>
  <c r="R67" i="1"/>
  <c r="P67" i="1"/>
  <c r="N66" i="1"/>
  <c r="G62" i="1"/>
  <c r="O67" i="1"/>
  <c r="M65" i="1"/>
  <c r="O65" i="1"/>
  <c r="N34" i="1"/>
  <c r="N60" i="1" s="1"/>
  <c r="H34" i="1"/>
  <c r="H60" i="1" s="1"/>
  <c r="P34" i="1"/>
  <c r="P60" i="1" s="1"/>
  <c r="F8" i="1"/>
  <c r="R34" i="1"/>
  <c r="R60" i="1" s="1"/>
  <c r="J34" i="1"/>
  <c r="J60" i="1" s="1"/>
  <c r="S11" i="1"/>
  <c r="S38" i="1" s="1"/>
  <c r="S64" i="1" s="1"/>
  <c r="S12" i="1"/>
  <c r="S39" i="1" s="1"/>
  <c r="S65" i="1" s="1"/>
  <c r="Q9" i="1"/>
  <c r="I9" i="1"/>
  <c r="I36" i="1" s="1"/>
  <c r="R11" i="1"/>
  <c r="R38" i="1" s="1"/>
  <c r="R64" i="1" s="1"/>
  <c r="R13" i="1"/>
  <c r="R40" i="1" s="1"/>
  <c r="Q11" i="1"/>
  <c r="Q38" i="1" s="1"/>
  <c r="Q64" i="1" s="1"/>
  <c r="K10" i="1"/>
  <c r="K37" i="1" s="1"/>
  <c r="P12" i="1"/>
  <c r="K8" i="1"/>
  <c r="K35" i="1" s="1"/>
  <c r="K61" i="1" s="1"/>
  <c r="Q14" i="1"/>
  <c r="Q41" i="1" s="1"/>
  <c r="AR13" i="1" l="1"/>
  <c r="AS12" i="1"/>
  <c r="P39" i="1"/>
  <c r="P65" i="1" s="1"/>
  <c r="AH25" i="1"/>
  <c r="Q36" i="1"/>
  <c r="Q62" i="1" s="1"/>
  <c r="F61" i="1"/>
  <c r="AA20" i="1"/>
  <c r="AI9" i="1"/>
  <c r="AI11" i="1" s="1"/>
  <c r="Q67" i="1"/>
  <c r="AC9" i="1"/>
  <c r="AC11" i="1" s="1"/>
  <c r="K63" i="1"/>
  <c r="R66" i="1"/>
  <c r="AA9" i="1"/>
  <c r="AA11" i="1" s="1"/>
  <c r="I62" i="1"/>
  <c r="I34" i="1"/>
  <c r="I60" i="1" s="1"/>
  <c r="Q39" i="1"/>
  <c r="Q65" i="1" s="1"/>
  <c r="R36" i="1"/>
  <c r="R62" i="1" s="1"/>
  <c r="X9" i="1"/>
  <c r="X11" i="1" s="1"/>
  <c r="F62" i="1"/>
  <c r="AC20" i="1"/>
  <c r="E13" i="1"/>
  <c r="AD20" i="1"/>
  <c r="AD8" i="1"/>
  <c r="P37" i="1"/>
  <c r="P63" i="1" s="1"/>
  <c r="Z7" i="1"/>
  <c r="I16" i="1"/>
  <c r="Q34" i="1"/>
  <c r="Q60" i="1" s="1"/>
  <c r="F7" i="1"/>
  <c r="F34" i="1" s="1"/>
  <c r="F60" i="1" s="1"/>
  <c r="S10" i="1"/>
  <c r="S37" i="1" s="1"/>
  <c r="S63" i="1" s="1"/>
  <c r="AS13" i="1" l="1"/>
  <c r="AT12" i="1"/>
  <c r="E14" i="1"/>
  <c r="AE8" i="1"/>
  <c r="AE20" i="1"/>
  <c r="J16" i="1"/>
  <c r="AA7" i="1"/>
  <c r="Y13" i="1"/>
  <c r="Z12" i="1"/>
  <c r="F6" i="1"/>
  <c r="F33" i="1" s="1"/>
  <c r="F59" i="1" s="1"/>
  <c r="H6" i="1"/>
  <c r="H33" i="1" s="1"/>
  <c r="H59" i="1" s="1"/>
  <c r="G6" i="1"/>
  <c r="G33" i="1" s="1"/>
  <c r="G59" i="1" s="1"/>
  <c r="S9" i="1"/>
  <c r="S36" i="1" s="1"/>
  <c r="S62" i="1" s="1"/>
  <c r="AT13" i="1" l="1"/>
  <c r="AU12" i="1"/>
  <c r="AA12" i="1"/>
  <c r="Z13" i="1"/>
  <c r="K16" i="1"/>
  <c r="AB7" i="1"/>
  <c r="E15" i="1"/>
  <c r="AF20" i="1"/>
  <c r="AG20" i="1"/>
  <c r="AF8" i="1"/>
  <c r="F5" i="1"/>
  <c r="F32" i="1" s="1"/>
  <c r="F58" i="1" s="1"/>
  <c r="S8" i="1"/>
  <c r="S35" i="1" s="1"/>
  <c r="S61" i="1" s="1"/>
  <c r="I6" i="1"/>
  <c r="I33" i="1" s="1"/>
  <c r="I59" i="1" s="1"/>
  <c r="AU13" i="1" l="1"/>
  <c r="AV12" i="1"/>
  <c r="B6" i="1"/>
  <c r="T14" i="1" s="1"/>
  <c r="AH20" i="1"/>
  <c r="AJ20" i="1"/>
  <c r="AL20" i="1"/>
  <c r="AI8" i="1"/>
  <c r="AK8" i="1"/>
  <c r="AG8" i="1"/>
  <c r="AK20" i="1"/>
  <c r="AJ8" i="1"/>
  <c r="AI20" i="1"/>
  <c r="AH8" i="1"/>
  <c r="AL8" i="1"/>
  <c r="L16" i="1"/>
  <c r="AC7" i="1"/>
  <c r="AB12" i="1"/>
  <c r="AA13" i="1"/>
  <c r="G5" i="1"/>
  <c r="F31" i="1"/>
  <c r="F57" i="1" s="1"/>
  <c r="J6" i="1"/>
  <c r="J33" i="1" s="1"/>
  <c r="J59" i="1" s="1"/>
  <c r="S7" i="1"/>
  <c r="S34" i="1" s="1"/>
  <c r="S60" i="1" s="1"/>
  <c r="AV13" i="1" l="1"/>
  <c r="AW12" i="1"/>
  <c r="M16" i="1"/>
  <c r="AD7" i="1"/>
  <c r="AB13" i="1"/>
  <c r="AC12" i="1"/>
  <c r="T13" i="1"/>
  <c r="T12" i="1" s="1"/>
  <c r="T41" i="1"/>
  <c r="T40" i="1"/>
  <c r="H5" i="1"/>
  <c r="G31" i="1"/>
  <c r="G57" i="1" s="1"/>
  <c r="G32" i="1"/>
  <c r="G58" i="1" s="1"/>
  <c r="K6" i="1"/>
  <c r="K33" i="1" s="1"/>
  <c r="K59" i="1" s="1"/>
  <c r="AW13" i="1" l="1"/>
  <c r="AX12" i="1"/>
  <c r="T66" i="1"/>
  <c r="T11" i="1"/>
  <c r="T39" i="1"/>
  <c r="T65" i="1" s="1"/>
  <c r="AL9" i="1"/>
  <c r="AL11" i="1" s="1"/>
  <c r="T67" i="1"/>
  <c r="AC13" i="1"/>
  <c r="AD12" i="1"/>
  <c r="N16" i="1"/>
  <c r="AE7" i="1"/>
  <c r="I5" i="1"/>
  <c r="H32" i="1"/>
  <c r="H58" i="1" s="1"/>
  <c r="H31" i="1"/>
  <c r="H57" i="1" s="1"/>
  <c r="L6" i="1"/>
  <c r="L33" i="1" s="1"/>
  <c r="L59" i="1" s="1"/>
  <c r="AX13" i="1" l="1"/>
  <c r="AY12" i="1"/>
  <c r="O16" i="1"/>
  <c r="AF7" i="1"/>
  <c r="AE12" i="1"/>
  <c r="AD13" i="1"/>
  <c r="T10" i="1"/>
  <c r="T38" i="1"/>
  <c r="T64" i="1" s="1"/>
  <c r="J5" i="1"/>
  <c r="I32" i="1"/>
  <c r="I58" i="1" s="1"/>
  <c r="I31" i="1"/>
  <c r="I57" i="1" s="1"/>
  <c r="M6" i="1"/>
  <c r="M33" i="1" s="1"/>
  <c r="M59" i="1" s="1"/>
  <c r="AY13" i="1" l="1"/>
  <c r="AZ12" i="1"/>
  <c r="T9" i="1"/>
  <c r="T37" i="1"/>
  <c r="T63" i="1" s="1"/>
  <c r="AF12" i="1"/>
  <c r="AE13" i="1"/>
  <c r="P16" i="1"/>
  <c r="AG7" i="1"/>
  <c r="K5" i="1"/>
  <c r="J32" i="1"/>
  <c r="J58" i="1" s="1"/>
  <c r="J31" i="1"/>
  <c r="J57" i="1" s="1"/>
  <c r="N6" i="1"/>
  <c r="N33" i="1" s="1"/>
  <c r="N59" i="1" s="1"/>
  <c r="AZ13" i="1" l="1"/>
  <c r="BA12" i="1"/>
  <c r="Q16" i="1"/>
  <c r="AH7" i="1"/>
  <c r="AF13" i="1"/>
  <c r="AG12" i="1"/>
  <c r="T8" i="1"/>
  <c r="T36" i="1"/>
  <c r="T62" i="1" s="1"/>
  <c r="L5" i="1"/>
  <c r="K32" i="1"/>
  <c r="K58" i="1" s="1"/>
  <c r="K31" i="1"/>
  <c r="K57" i="1" s="1"/>
  <c r="O6" i="1"/>
  <c r="O33" i="1" s="1"/>
  <c r="O59" i="1" s="1"/>
  <c r="BA13" i="1" l="1"/>
  <c r="BB12" i="1"/>
  <c r="T7" i="1"/>
  <c r="T35" i="1"/>
  <c r="T61" i="1" s="1"/>
  <c r="AH12" i="1"/>
  <c r="AG13" i="1"/>
  <c r="R16" i="1"/>
  <c r="AI7" i="1"/>
  <c r="M5" i="1"/>
  <c r="L32" i="1"/>
  <c r="L58" i="1" s="1"/>
  <c r="L31" i="1"/>
  <c r="L57" i="1" s="1"/>
  <c r="P6" i="1"/>
  <c r="P33" i="1" s="1"/>
  <c r="P59" i="1" s="1"/>
  <c r="BB13" i="1" l="1"/>
  <c r="BC12" i="1"/>
  <c r="BC13" i="1" s="1"/>
  <c r="S16" i="1"/>
  <c r="AJ7" i="1"/>
  <c r="AH13" i="1"/>
  <c r="AI12" i="1"/>
  <c r="T6" i="1"/>
  <c r="T33" i="1" s="1"/>
  <c r="T59" i="1" s="1"/>
  <c r="T34" i="1"/>
  <c r="T60" i="1" s="1"/>
  <c r="N5" i="1"/>
  <c r="M32" i="1"/>
  <c r="M58" i="1" s="1"/>
  <c r="M31" i="1"/>
  <c r="M57" i="1" s="1"/>
  <c r="Q6" i="1"/>
  <c r="Q33" i="1" s="1"/>
  <c r="Q59" i="1" s="1"/>
  <c r="AJ12" i="1" l="1"/>
  <c r="AI13" i="1"/>
  <c r="T16" i="1"/>
  <c r="AK7" i="1"/>
  <c r="O5" i="1"/>
  <c r="N31" i="1"/>
  <c r="N57" i="1" s="1"/>
  <c r="N32" i="1"/>
  <c r="N58" i="1" s="1"/>
  <c r="R6" i="1"/>
  <c r="R33" i="1" s="1"/>
  <c r="R59" i="1" s="1"/>
  <c r="AL7" i="1" l="1"/>
  <c r="AK12" i="1"/>
  <c r="AJ13" i="1"/>
  <c r="P5" i="1"/>
  <c r="O32" i="1"/>
  <c r="O58" i="1" s="1"/>
  <c r="O31" i="1"/>
  <c r="O57" i="1" s="1"/>
  <c r="S6" i="1"/>
  <c r="S33" i="1" s="1"/>
  <c r="S59" i="1" s="1"/>
  <c r="AK13" i="1" l="1"/>
  <c r="AL12" i="1"/>
  <c r="AL13" i="1" s="1"/>
  <c r="Q5" i="1"/>
  <c r="P32" i="1"/>
  <c r="P58" i="1" s="1"/>
  <c r="P31" i="1"/>
  <c r="P57" i="1" s="1"/>
  <c r="R5" i="1" l="1"/>
  <c r="Q32" i="1"/>
  <c r="Q58" i="1" s="1"/>
  <c r="Q31" i="1"/>
  <c r="Q57" i="1" s="1"/>
  <c r="S5" i="1" l="1"/>
  <c r="R32" i="1"/>
  <c r="R58" i="1" s="1"/>
  <c r="R31" i="1"/>
  <c r="R57" i="1" s="1"/>
  <c r="T5" i="1" l="1"/>
  <c r="S32" i="1"/>
  <c r="S58" i="1" s="1"/>
  <c r="S31" i="1"/>
  <c r="S57" i="1" s="1"/>
  <c r="T32" i="1" l="1"/>
  <c r="T58" i="1" s="1"/>
  <c r="T31" i="1"/>
  <c r="T57" i="1" s="1"/>
</calcChain>
</file>

<file path=xl/sharedStrings.xml><?xml version="1.0" encoding="utf-8"?>
<sst xmlns="http://schemas.openxmlformats.org/spreadsheetml/2006/main" count="33" uniqueCount="7">
  <si>
    <t>U</t>
  </si>
  <si>
    <t>V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</si>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</sst>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₽_-;\-* #,##0.00\ _₽_-;_-* &quot;-&quot;??\ _₽_-;_-@_-"/>
    <numFmt numFmtId="167" formatCode="_-* #,##0\ _₽_-;\-* #,##0\ _₽_-;_-* &quot;-&quot;??\ _₽_-;_-@_-"/>
    <numFmt numFmtId="169" formatCode="0.0"/>
    <numFmt numFmtId="170" formatCode="0.000"/>
    <numFmt numFmtId="174" formatCode="0.0000000"/>
  </numFmts>
  <fonts count="3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2">
    <xf numFmtId="0" fontId="0" fillId="0" borderId="0" xfId="0"/>
    <xf numFmtId="2" fontId="0" fillId="0" borderId="0" xfId="0" applyNumberFormat="1"/>
    <xf numFmtId="2" fontId="0" fillId="2" borderId="0" xfId="0" applyNumberFormat="1" applyFill="1"/>
    <xf numFmtId="167" fontId="0" fillId="0" borderId="0" xfId="1" applyNumberFormat="1" applyFont="1"/>
    <xf numFmtId="1" fontId="0" fillId="0" borderId="0" xfId="1" applyNumberFormat="1" applyFont="1"/>
    <xf numFmtId="2" fontId="0" fillId="0" borderId="0" xfId="0" applyNumberFormat="1" applyAlignment="1">
      <alignment horizontal="right"/>
    </xf>
    <xf numFmtId="170" fontId="0" fillId="0" borderId="0" xfId="0" applyNumberFormat="1"/>
    <xf numFmtId="174" fontId="0" fillId="0" borderId="0" xfId="0" applyNumberFormat="1"/>
    <xf numFmtId="169" fontId="0" fillId="0" borderId="0" xfId="0" applyNumberFormat="1"/>
    <xf numFmtId="1" fontId="0" fillId="0" borderId="0" xfId="0" applyNumberFormat="1"/>
    <xf numFmtId="2" fontId="0" fillId="3" borderId="0" xfId="0" applyNumberFormat="1" applyFill="1" applyAlignment="1">
      <alignment horizontal="right"/>
    </xf>
    <xf numFmtId="2" fontId="0" fillId="3" borderId="0" xfId="0" applyNumberFormat="1" applyFill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71981627296588"/>
          <c:y val="7.407407407407407E-2"/>
          <c:w val="0.88396062992125979"/>
          <c:h val="0.8416746864975212"/>
        </c:manualLayout>
      </c:layout>
      <c:lineChart>
        <c:grouping val="standard"/>
        <c:varyColors val="0"/>
        <c:ser>
          <c:idx val="1"/>
          <c:order val="0"/>
          <c:tx>
            <c:strRef>
              <c:f>Лист1!$W$5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Лист1!$F$16:$T$16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Лист1!$X$8:$AL$8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0.60000000000000009</c:v>
                </c:pt>
                <c:pt idx="7">
                  <c:v>0.40000000000000008</c:v>
                </c:pt>
                <c:pt idx="8">
                  <c:v>0.20000000000000007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Лист1!$W$17</c:f>
              <c:strCache>
                <c:ptCount val="1"/>
                <c:pt idx="0">
                  <c:v>0,50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Лист1!$F$16:$T$16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Лист1!$X$20:$AL$20</c:f>
              <c:numCache>
                <c:formatCode>0.0000000</c:formatCode>
                <c:ptCount val="15"/>
                <c:pt idx="0">
                  <c:v>1.05</c:v>
                </c:pt>
                <c:pt idx="1">
                  <c:v>1.0491298275987786</c:v>
                </c:pt>
                <c:pt idx="2">
                  <c:v>1.0478686159317703</c:v>
                </c:pt>
                <c:pt idx="3">
                  <c:v>1.04557578472388</c:v>
                </c:pt>
                <c:pt idx="4">
                  <c:v>1.0410551331739004</c:v>
                </c:pt>
                <c:pt idx="5">
                  <c:v>0.87533392132440857</c:v>
                </c:pt>
                <c:pt idx="6">
                  <c:v>0.69983116232087805</c:v>
                </c:pt>
                <c:pt idx="7">
                  <c:v>0.52521415619435707</c:v>
                </c:pt>
                <c:pt idx="8">
                  <c:v>0.35914955711704938</c:v>
                </c:pt>
                <c:pt idx="9">
                  <c:v>0.3529204767496058</c:v>
                </c:pt>
                <c:pt idx="10">
                  <c:v>0.15243791225293518</c:v>
                </c:pt>
                <c:pt idx="11">
                  <c:v>0.12720171580202966</c:v>
                </c:pt>
                <c:pt idx="12">
                  <c:v>0.114381768637558</c:v>
                </c:pt>
                <c:pt idx="13">
                  <c:v>0.10620753656534067</c:v>
                </c:pt>
                <c:pt idx="14">
                  <c:v>0.10000000000000003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Лист1!$W$22</c:f>
              <c:strCache>
                <c:ptCount val="1"/>
                <c:pt idx="0">
                  <c:v>2,50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Лист1!$F$16:$T$16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Лист1!$X$25:$AL$25</c:f>
              <c:numCache>
                <c:formatCode>0.00</c:formatCode>
                <c:ptCount val="15"/>
                <c:pt idx="0">
                  <c:v>1.25</c:v>
                </c:pt>
                <c:pt idx="1">
                  <c:v>1.2460611044688141</c:v>
                </c:pt>
                <c:pt idx="2">
                  <c:v>1.2403368631801481</c:v>
                </c:pt>
                <c:pt idx="3">
                  <c:v>1.2297284272607909</c:v>
                </c:pt>
                <c:pt idx="4">
                  <c:v>1.2063039919759728</c:v>
                </c:pt>
                <c:pt idx="5">
                  <c:v>1.1342193928694575</c:v>
                </c:pt>
                <c:pt idx="6">
                  <c:v>1.0363668651584075</c:v>
                </c:pt>
                <c:pt idx="7">
                  <c:v>0.92699449076407037</c:v>
                </c:pt>
                <c:pt idx="8">
                  <c:v>0.82438672389334133</c:v>
                </c:pt>
                <c:pt idx="9">
                  <c:v>0.72972120115710681</c:v>
                </c:pt>
                <c:pt idx="10">
                  <c:v>0.65483563343484341</c:v>
                </c:pt>
                <c:pt idx="11">
                  <c:v>0.59985581782966979</c:v>
                </c:pt>
                <c:pt idx="12">
                  <c:v>0.55754931506443106</c:v>
                </c:pt>
                <c:pt idx="13">
                  <c:v>0.52603076082826883</c:v>
                </c:pt>
                <c:pt idx="14">
                  <c:v>0.50000000000000011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Лист1!$W$27</c:f>
              <c:strCache>
                <c:ptCount val="1"/>
                <c:pt idx="0">
                  <c:v>5,00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Лист1!$F$16:$T$16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Лист1!$X$30:$AL$30</c:f>
              <c:numCache>
                <c:formatCode>0.00</c:formatCode>
                <c:ptCount val="15"/>
                <c:pt idx="0">
                  <c:v>1.5</c:v>
                </c:pt>
                <c:pt idx="1">
                  <c:v>1.4949319017749279</c:v>
                </c:pt>
                <c:pt idx="2">
                  <c:v>1.4879335880888134</c:v>
                </c:pt>
                <c:pt idx="3">
                  <c:v>1.4763317239157812</c:v>
                </c:pt>
                <c:pt idx="4">
                  <c:v>1.4555921394190903</c:v>
                </c:pt>
                <c:pt idx="5">
                  <c:v>1.4180310998576353</c:v>
                </c:pt>
                <c:pt idx="6">
                  <c:v>1.368761523505178</c:v>
                </c:pt>
                <c:pt idx="7">
                  <c:v>1.3123446280452913</c:v>
                </c:pt>
                <c:pt idx="8">
                  <c:v>1.2549433726311712</c:v>
                </c:pt>
                <c:pt idx="9">
                  <c:v>1.2006044202697459</c:v>
                </c:pt>
                <c:pt idx="10">
                  <c:v>1.149014228513717</c:v>
                </c:pt>
                <c:pt idx="11">
                  <c:v>1.1044770700257598</c:v>
                </c:pt>
                <c:pt idx="12">
                  <c:v>1.066127457558852</c:v>
                </c:pt>
                <c:pt idx="13">
                  <c:v>1.0321047959383627</c:v>
                </c:pt>
                <c:pt idx="14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Лист1!$W$32</c:f>
              <c:strCache>
                <c:ptCount val="1"/>
                <c:pt idx="0">
                  <c:v>7,50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Лист1!$F$16:$T$16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Лист1!$X$35:$AL$35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1.7466273840668787</c:v>
                </c:pt>
                <c:pt idx="2">
                  <c:v>1.7421186227070946</c:v>
                </c:pt>
                <c:pt idx="3">
                  <c:v>1.735139937889044</c:v>
                </c:pt>
                <c:pt idx="4">
                  <c:v>1.7239912506418389</c:v>
                </c:pt>
                <c:pt idx="5">
                  <c:v>1.7070602788390326</c:v>
                </c:pt>
                <c:pt idx="6">
                  <c:v>1.6853656384726263</c:v>
                </c:pt>
                <c:pt idx="7">
                  <c:v>1.6607457988602778</c:v>
                </c:pt>
                <c:pt idx="8">
                  <c:v>1.6349915463255638</c:v>
                </c:pt>
                <c:pt idx="9">
                  <c:v>1.6095152698312891</c:v>
                </c:pt>
                <c:pt idx="10">
                  <c:v>1.5849246428813444</c:v>
                </c:pt>
                <c:pt idx="11">
                  <c:v>1.5618906257722709</c:v>
                </c:pt>
                <c:pt idx="12">
                  <c:v>1.5405455217730313</c:v>
                </c:pt>
                <c:pt idx="13">
                  <c:v>1.5202714063936591</c:v>
                </c:pt>
                <c:pt idx="14">
                  <c:v>1.5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Лист1!$W$37</c:f>
              <c:strCache>
                <c:ptCount val="1"/>
                <c:pt idx="0">
                  <c:v>9,50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Лист1!$F$16:$T$16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Лист1!$X$40:$AL$40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1.9492811965232053</c:v>
                </c:pt>
                <c:pt idx="2">
                  <c:v>1.9483239340273535</c:v>
                </c:pt>
                <c:pt idx="3">
                  <c:v>1.9468629752111626</c:v>
                </c:pt>
                <c:pt idx="4">
                  <c:v>1.9445916700999024</c:v>
                </c:pt>
                <c:pt idx="5">
                  <c:v>1.9412839899748036</c:v>
                </c:pt>
                <c:pt idx="6">
                  <c:v>1.9370954149805997</c:v>
                </c:pt>
                <c:pt idx="7">
                  <c:v>1.9323341725146364</c:v>
                </c:pt>
                <c:pt idx="8">
                  <c:v>1.9273155337496917</c:v>
                </c:pt>
                <c:pt idx="9">
                  <c:v>1.9222995315168034</c:v>
                </c:pt>
                <c:pt idx="10">
                  <c:v>1.9174625411278901</c:v>
                </c:pt>
                <c:pt idx="11">
                  <c:v>1.9128837475598783</c:v>
                </c:pt>
                <c:pt idx="12">
                  <c:v>1.9085418417340621</c:v>
                </c:pt>
                <c:pt idx="13">
                  <c:v>1.9043182306637958</c:v>
                </c:pt>
                <c:pt idx="14">
                  <c:v>1.9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Лист1!$W$42</c:f>
              <c:strCache>
                <c:ptCount val="1"/>
                <c:pt idx="0">
                  <c:v>10,00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Лист1!$F$16:$T$16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Лист1!$X$45:$AL$45</c:f>
              <c:numCache>
                <c:formatCode>0.00</c:formatCode>
                <c:ptCount val="15"/>
                <c:pt idx="0">
                  <c:v>1.9999999999999998</c:v>
                </c:pt>
                <c:pt idx="1">
                  <c:v>1.9999999999999998</c:v>
                </c:pt>
                <c:pt idx="2">
                  <c:v>1.9999999999999998</c:v>
                </c:pt>
                <c:pt idx="3">
                  <c:v>1.9999999999999998</c:v>
                </c:pt>
                <c:pt idx="4">
                  <c:v>1.9999999999999998</c:v>
                </c:pt>
                <c:pt idx="5">
                  <c:v>1.9999999999999998</c:v>
                </c:pt>
                <c:pt idx="6">
                  <c:v>1.9999999999999998</c:v>
                </c:pt>
                <c:pt idx="7">
                  <c:v>1.9999999999999998</c:v>
                </c:pt>
                <c:pt idx="8">
                  <c:v>1.9999999999999998</c:v>
                </c:pt>
                <c:pt idx="9">
                  <c:v>1.9999999999999998</c:v>
                </c:pt>
                <c:pt idx="10">
                  <c:v>1.9999999999999998</c:v>
                </c:pt>
                <c:pt idx="11">
                  <c:v>1.9999999999999998</c:v>
                </c:pt>
                <c:pt idx="12">
                  <c:v>1.9999999999999998</c:v>
                </c:pt>
                <c:pt idx="13">
                  <c:v>1.9999999999999998</c:v>
                </c:pt>
                <c:pt idx="14">
                  <c:v>1.9999999999999998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5886048"/>
        <c:axId val="305888792"/>
      </c:lineChart>
      <c:catAx>
        <c:axId val="30588604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5888792"/>
        <c:crosses val="autoZero"/>
        <c:auto val="1"/>
        <c:lblAlgn val="ctr"/>
        <c:lblOffset val="100"/>
        <c:noMultiLvlLbl val="0"/>
      </c:catAx>
      <c:valAx>
        <c:axId val="30588879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5886048"/>
        <c:crosses val="autoZero"/>
        <c:crossBetween val="between"/>
        <c:majorUnit val="0.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Нижняя стенка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-3.5737089142785408E-2</c:v>
                </c:pt>
                <c:pt idx="2">
                  <c:v>-9.103395698097301E-2</c:v>
                </c:pt>
                <c:pt idx="3">
                  <c:v>-0.20357095466111785</c:v>
                </c:pt>
                <c:pt idx="4">
                  <c:v>-0.92373144326673351</c:v>
                </c:pt>
                <c:pt idx="5">
                  <c:v>0.24728083897294709</c:v>
                </c:pt>
                <c:pt idx="6">
                  <c:v>0.58970050293544773</c:v>
                </c:pt>
                <c:pt idx="7">
                  <c:v>0.74184410981892146</c:v>
                </c:pt>
                <c:pt idx="8">
                  <c:v>0.85363223798427501</c:v>
                </c:pt>
                <c:pt idx="9">
                  <c:v>0.95233496231056047</c:v>
                </c:pt>
                <c:pt idx="10">
                  <c:v>0.8924144301988417</c:v>
                </c:pt>
                <c:pt idx="11">
                  <c:v>0.84549089754174933</c:v>
                </c:pt>
                <c:pt idx="12">
                  <c:v>0.80891508938395418</c:v>
                </c:pt>
                <c:pt idx="13">
                  <c:v>0.77836959642561854</c:v>
                </c:pt>
                <c:pt idx="14">
                  <c:v>0.75</c:v>
                </c:pt>
              </c:numCache>
            </c:numRef>
          </c:val>
          <c:smooth val="0"/>
        </c:ser>
        <c:ser>
          <c:idx val="1"/>
          <c:order val="1"/>
          <c:tx>
            <c:v>Верхняя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Лист1!$AO$13:$BC$13</c:f>
              <c:numCache>
                <c:formatCode>0.00</c:formatCode>
                <c:ptCount val="15"/>
                <c:pt idx="0">
                  <c:v>0</c:v>
                </c:pt>
                <c:pt idx="1">
                  <c:v>2.8143799492390827E-2</c:v>
                </c:pt>
                <c:pt idx="2">
                  <c:v>6.3816202243033332E-2</c:v>
                </c:pt>
                <c:pt idx="3">
                  <c:v>0.11458772088255501</c:v>
                </c:pt>
                <c:pt idx="4">
                  <c:v>0.18568977391609223</c:v>
                </c:pt>
                <c:pt idx="5">
                  <c:v>0.27485152704728533</c:v>
                </c:pt>
                <c:pt idx="6">
                  <c:v>0.36820613361691357</c:v>
                </c:pt>
                <c:pt idx="7">
                  <c:v>0.45398922355263494</c:v>
                </c:pt>
                <c:pt idx="8">
                  <c:v>0.52678685778315415</c:v>
                </c:pt>
                <c:pt idx="9">
                  <c:v>0.58591191522195007</c:v>
                </c:pt>
                <c:pt idx="10">
                  <c:v>0.63302386621391638</c:v>
                </c:pt>
                <c:pt idx="11">
                  <c:v>0.67058631353022069</c:v>
                </c:pt>
                <c:pt idx="12">
                  <c:v>0.70112120363744912</c:v>
                </c:pt>
                <c:pt idx="13">
                  <c:v>0.72692520682874606</c:v>
                </c:pt>
                <c:pt idx="14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288344"/>
        <c:axId val="455286776"/>
      </c:lineChart>
      <c:catAx>
        <c:axId val="45528834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5286776"/>
        <c:crosses val="autoZero"/>
        <c:auto val="1"/>
        <c:lblAlgn val="ctr"/>
        <c:lblOffset val="100"/>
        <c:noMultiLvlLbl val="0"/>
      </c:catAx>
      <c:valAx>
        <c:axId val="455286776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528834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403860</xdr:colOff>
      <xdr:row>4</xdr:row>
      <xdr:rowOff>182879</xdr:rowOff>
    </xdr:from>
    <xdr:ext cx="20175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/>
            <xdr:cNvSpPr txBox="1"/>
          </xdr:nvSpPr>
          <xdr:spPr>
            <a:xfrm>
              <a:off x="14790420" y="91439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𝜓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" name="TextBox 1"/>
            <xdr:cNvSpPr txBox="1"/>
          </xdr:nvSpPr>
          <xdr:spPr>
            <a:xfrm>
              <a:off x="14790420" y="91439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22</xdr:col>
      <xdr:colOff>411480</xdr:colOff>
      <xdr:row>16</xdr:row>
      <xdr:rowOff>182879</xdr:rowOff>
    </xdr:from>
    <xdr:ext cx="20175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14798040" y="310895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𝜓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14798040" y="310895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22</xdr:col>
      <xdr:colOff>403860</xdr:colOff>
      <xdr:row>16</xdr:row>
      <xdr:rowOff>182879</xdr:rowOff>
    </xdr:from>
    <xdr:ext cx="20175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4790420" y="91439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𝜓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4790420" y="91439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22</xdr:col>
      <xdr:colOff>441960</xdr:colOff>
      <xdr:row>21</xdr:row>
      <xdr:rowOff>175259</xdr:rowOff>
    </xdr:from>
    <xdr:ext cx="20175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14828520" y="401573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𝜓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14828520" y="401573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441960</xdr:colOff>
      <xdr:row>21</xdr:row>
      <xdr:rowOff>175259</xdr:rowOff>
    </xdr:from>
    <xdr:ext cx="201757" cy="172227"/>
    <xdr:sp macro="" textlink="">
      <xdr:nvSpPr>
        <xdr:cNvPr id="6" name="TextBox 5"/>
        <xdr:cNvSpPr txBox="1"/>
      </xdr:nvSpPr>
      <xdr:spPr>
        <a:xfrm>
          <a:off x="14828520" y="4015739"/>
          <a:ext cx="201757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22</xdr:col>
      <xdr:colOff>350520</xdr:colOff>
      <xdr:row>27</xdr:row>
      <xdr:rowOff>7620</xdr:rowOff>
    </xdr:from>
    <xdr:ext cx="20175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4" name="TextBox 73"/>
            <xdr:cNvSpPr txBox="1"/>
          </xdr:nvSpPr>
          <xdr:spPr>
            <a:xfrm>
              <a:off x="14737080" y="4945380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𝜓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74" name="TextBox 73"/>
            <xdr:cNvSpPr txBox="1"/>
          </xdr:nvSpPr>
          <xdr:spPr>
            <a:xfrm>
              <a:off x="14737080" y="4945380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22</xdr:col>
      <xdr:colOff>350520</xdr:colOff>
      <xdr:row>32</xdr:row>
      <xdr:rowOff>7620</xdr:rowOff>
    </xdr:from>
    <xdr:ext cx="20175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5" name="TextBox 74"/>
            <xdr:cNvSpPr txBox="1"/>
          </xdr:nvSpPr>
          <xdr:spPr>
            <a:xfrm>
              <a:off x="14737080" y="4945380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𝜓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75" name="TextBox 74"/>
            <xdr:cNvSpPr txBox="1"/>
          </xdr:nvSpPr>
          <xdr:spPr>
            <a:xfrm>
              <a:off x="14737080" y="4945380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22</xdr:col>
      <xdr:colOff>350520</xdr:colOff>
      <xdr:row>37</xdr:row>
      <xdr:rowOff>7620</xdr:rowOff>
    </xdr:from>
    <xdr:ext cx="20175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6" name="TextBox 75"/>
            <xdr:cNvSpPr txBox="1"/>
          </xdr:nvSpPr>
          <xdr:spPr>
            <a:xfrm>
              <a:off x="14737080" y="5859780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𝜓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76" name="TextBox 75"/>
            <xdr:cNvSpPr txBox="1"/>
          </xdr:nvSpPr>
          <xdr:spPr>
            <a:xfrm>
              <a:off x="14737080" y="5859780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27</xdr:col>
      <xdr:colOff>670560</xdr:colOff>
      <xdr:row>47</xdr:row>
      <xdr:rowOff>3810</xdr:rowOff>
    </xdr:from>
    <xdr:to>
      <xdr:col>33</xdr:col>
      <xdr:colOff>220980</xdr:colOff>
      <xdr:row>65</xdr:row>
      <xdr:rowOff>129540</xdr:rowOff>
    </xdr:to>
    <xdr:graphicFrame macro="">
      <xdr:nvGraphicFramePr>
        <xdr:cNvPr id="77" name="Диаграмма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22</xdr:col>
      <xdr:colOff>350520</xdr:colOff>
      <xdr:row>42</xdr:row>
      <xdr:rowOff>7620</xdr:rowOff>
    </xdr:from>
    <xdr:ext cx="20175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8" name="TextBox 77"/>
            <xdr:cNvSpPr txBox="1"/>
          </xdr:nvSpPr>
          <xdr:spPr>
            <a:xfrm>
              <a:off x="14737080" y="6774180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𝜓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78" name="TextBox 77"/>
            <xdr:cNvSpPr txBox="1"/>
          </xdr:nvSpPr>
          <xdr:spPr>
            <a:xfrm>
              <a:off x="14737080" y="6774180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39</xdr:col>
      <xdr:colOff>403860</xdr:colOff>
      <xdr:row>4</xdr:row>
      <xdr:rowOff>182879</xdr:rowOff>
    </xdr:from>
    <xdr:ext cx="20175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9" name="TextBox 78"/>
            <xdr:cNvSpPr txBox="1"/>
          </xdr:nvSpPr>
          <xdr:spPr>
            <a:xfrm>
              <a:off x="14790420" y="91439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𝜓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79" name="TextBox 78"/>
            <xdr:cNvSpPr txBox="1"/>
          </xdr:nvSpPr>
          <xdr:spPr>
            <a:xfrm>
              <a:off x="14790420" y="914399"/>
              <a:ext cx="2017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𝜓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41</xdr:col>
      <xdr:colOff>361950</xdr:colOff>
      <xdr:row>15</xdr:row>
      <xdr:rowOff>41910</xdr:rowOff>
    </xdr:from>
    <xdr:to>
      <xdr:col>51</xdr:col>
      <xdr:colOff>259080</xdr:colOff>
      <xdr:row>38</xdr:row>
      <xdr:rowOff>68580</xdr:rowOff>
    </xdr:to>
    <xdr:graphicFrame macro="">
      <xdr:nvGraphicFramePr>
        <xdr:cNvPr id="80" name="Диаграмма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BC68"/>
  <sheetViews>
    <sheetView tabSelected="1" topLeftCell="AM10" zoomScaleNormal="100" workbookViewId="0">
      <selection activeCell="AZ25" sqref="AZ25"/>
    </sheetView>
  </sheetViews>
  <sheetFormatPr defaultColWidth="9.109375" defaultRowHeight="14.4" x14ac:dyDescent="0.3"/>
  <cols>
    <col min="1" max="1" width="13.44140625" style="1" customWidth="1"/>
    <col min="2" max="2" width="10.33203125" style="1" bestFit="1" customWidth="1"/>
    <col min="3" max="4" width="9.109375" style="1"/>
    <col min="5" max="21" width="9.33203125" style="1" bestFit="1" customWidth="1"/>
    <col min="22" max="22" width="9.109375" style="1"/>
    <col min="23" max="23" width="9.21875" style="1" bestFit="1" customWidth="1"/>
    <col min="24" max="33" width="13.5546875" style="1" bestFit="1" customWidth="1"/>
    <col min="34" max="34" width="9.44140625" style="1" customWidth="1"/>
    <col min="35" max="35" width="9.88671875" style="1" customWidth="1"/>
    <col min="36" max="36" width="10.33203125" style="1" customWidth="1"/>
    <col min="37" max="37" width="10" style="1" customWidth="1"/>
    <col min="38" max="38" width="9.77734375" style="1" customWidth="1"/>
    <col min="39" max="40" width="9.109375" style="1"/>
    <col min="41" max="41" width="9.44140625" style="1" bestFit="1" customWidth="1"/>
    <col min="42" max="16384" width="9.109375" style="1"/>
  </cols>
  <sheetData>
    <row r="2" spans="2:55" x14ac:dyDescent="0.3">
      <c r="B2" s="1">
        <v>0.2</v>
      </c>
    </row>
    <row r="4" spans="2:55" x14ac:dyDescent="0.3">
      <c r="B4" s="1">
        <v>10</v>
      </c>
      <c r="F4" s="1">
        <v>1</v>
      </c>
      <c r="G4" s="1">
        <v>2</v>
      </c>
      <c r="H4" s="1">
        <v>3</v>
      </c>
      <c r="I4" s="1">
        <v>4</v>
      </c>
      <c r="J4" s="1">
        <v>5</v>
      </c>
      <c r="K4" s="1">
        <v>6</v>
      </c>
      <c r="L4" s="1">
        <v>7</v>
      </c>
      <c r="M4" s="1">
        <v>8</v>
      </c>
      <c r="N4" s="1">
        <v>9</v>
      </c>
      <c r="O4" s="1">
        <v>10</v>
      </c>
      <c r="P4" s="1">
        <v>11</v>
      </c>
      <c r="Q4" s="1">
        <v>12</v>
      </c>
      <c r="R4" s="1">
        <v>13</v>
      </c>
      <c r="S4" s="1">
        <v>14</v>
      </c>
      <c r="T4" s="1">
        <v>15</v>
      </c>
    </row>
    <row r="5" spans="2:55" x14ac:dyDescent="0.3">
      <c r="B5" s="1">
        <v>101325</v>
      </c>
      <c r="E5" s="1">
        <f>E6+0.2</f>
        <v>1.9999999999999998</v>
      </c>
      <c r="F5" s="1">
        <f>F6+$B$4*$B$2</f>
        <v>10</v>
      </c>
      <c r="G5" s="1">
        <f>F5</f>
        <v>10</v>
      </c>
      <c r="H5" s="1">
        <f>G5</f>
        <v>10</v>
      </c>
      <c r="I5" s="1">
        <f>H5</f>
        <v>10</v>
      </c>
      <c r="J5" s="1">
        <f>I5</f>
        <v>10</v>
      </c>
      <c r="K5" s="1">
        <f>J5</f>
        <v>10</v>
      </c>
      <c r="L5" s="1">
        <f>K5</f>
        <v>10</v>
      </c>
      <c r="M5" s="1">
        <f>L5</f>
        <v>10</v>
      </c>
      <c r="N5" s="1">
        <f>M5</f>
        <v>10</v>
      </c>
      <c r="O5" s="1">
        <f>N5</f>
        <v>10</v>
      </c>
      <c r="P5" s="1">
        <f>O5</f>
        <v>10</v>
      </c>
      <c r="Q5" s="1">
        <f>P5</f>
        <v>10</v>
      </c>
      <c r="R5" s="1">
        <f>Q5</f>
        <v>10</v>
      </c>
      <c r="S5" s="1">
        <f>R5</f>
        <v>10</v>
      </c>
      <c r="T5" s="1">
        <f>S5</f>
        <v>10</v>
      </c>
      <c r="U5" s="1">
        <v>11</v>
      </c>
      <c r="W5" s="4">
        <v>0</v>
      </c>
      <c r="X5" s="3">
        <v>1</v>
      </c>
      <c r="Y5" s="3">
        <v>2</v>
      </c>
      <c r="Z5" s="3">
        <v>3</v>
      </c>
      <c r="AA5" s="3">
        <v>4</v>
      </c>
      <c r="AB5" s="3">
        <v>5</v>
      </c>
      <c r="AC5" s="3">
        <v>6</v>
      </c>
      <c r="AD5" s="3">
        <v>7</v>
      </c>
      <c r="AE5" s="3">
        <v>8</v>
      </c>
      <c r="AF5" s="3">
        <v>9</v>
      </c>
      <c r="AG5" s="3">
        <v>10</v>
      </c>
      <c r="AH5" s="3">
        <v>11</v>
      </c>
      <c r="AI5" s="3">
        <v>12</v>
      </c>
      <c r="AJ5" s="3">
        <v>13</v>
      </c>
      <c r="AK5" s="3">
        <v>14</v>
      </c>
      <c r="AL5" s="3">
        <v>15</v>
      </c>
      <c r="AN5" s="4">
        <v>10</v>
      </c>
      <c r="AO5" s="3">
        <v>1</v>
      </c>
      <c r="AP5" s="3">
        <v>2</v>
      </c>
      <c r="AQ5" s="3">
        <v>3</v>
      </c>
      <c r="AR5" s="3">
        <v>4</v>
      </c>
      <c r="AS5" s="3">
        <v>5</v>
      </c>
      <c r="AT5" s="3">
        <v>6</v>
      </c>
      <c r="AU5" s="3">
        <v>7</v>
      </c>
      <c r="AV5" s="3">
        <v>8</v>
      </c>
      <c r="AW5" s="3">
        <v>9</v>
      </c>
      <c r="AX5" s="3">
        <v>10</v>
      </c>
      <c r="AY5" s="3">
        <v>11</v>
      </c>
      <c r="AZ5" s="3">
        <v>12</v>
      </c>
      <c r="BA5" s="3">
        <v>13</v>
      </c>
      <c r="BB5" s="3">
        <v>14</v>
      </c>
      <c r="BC5" s="3">
        <v>15</v>
      </c>
    </row>
    <row r="6" spans="2:55" x14ac:dyDescent="0.3">
      <c r="B6" s="1">
        <f>(E5-E10)*B4/(E5-E15)</f>
        <v>5</v>
      </c>
      <c r="E6" s="1">
        <f>E7+0.2</f>
        <v>1.7999999999999998</v>
      </c>
      <c r="F6" s="1">
        <f>F7+$B$4*$B$2</f>
        <v>8</v>
      </c>
      <c r="G6" s="1">
        <f>0.25*(H19+F19+G18+G20)</f>
        <v>8.0283446543498727</v>
      </c>
      <c r="H6" s="1">
        <f>0.25*(I19+G19+H18+H20)</f>
        <v>8.0648681721837576</v>
      </c>
      <c r="I6" s="1">
        <f>0.25*(J19+H19+I18+I20)</f>
        <v>8.1180730310476932</v>
      </c>
      <c r="J6" s="1">
        <f>0.25*(K19+I19+J18+J20)</f>
        <v>8.1952172140849147</v>
      </c>
      <c r="K6" s="1">
        <f>0.25*(L19+J19+K18+K20)</f>
        <v>8.2968869996941557</v>
      </c>
      <c r="L6" s="1">
        <f>0.25*(M19+K19+L18+L20)</f>
        <v>8.4102907606947959</v>
      </c>
      <c r="M6" s="1">
        <f>0.25*(N19+L19+M18+M20)</f>
        <v>8.5221491598306276</v>
      </c>
      <c r="N6" s="1">
        <f>0.25*(O19+M19+N18+N20)</f>
        <v>8.6241902134133621</v>
      </c>
      <c r="O6" s="1">
        <f>0.25*(P19+N19+O18+O20)</f>
        <v>8.7130064727778809</v>
      </c>
      <c r="P6" s="1">
        <f>0.25*(Q19+O19+P18+P20)</f>
        <v>8.788428898023767</v>
      </c>
      <c r="Q6" s="1">
        <f>0.25*(R19+P19+Q18+Q20)</f>
        <v>8.8521085652905676</v>
      </c>
      <c r="R6" s="1">
        <f>0.25*(S19+Q19+R18+R20)</f>
        <v>8.9066038295979606</v>
      </c>
      <c r="S6" s="1">
        <f>0.25*(T19+R19+S18+S20)</f>
        <v>8.954868825129866</v>
      </c>
      <c r="T6" s="1">
        <f>T7+B$6*B$2</f>
        <v>9</v>
      </c>
      <c r="U6" s="1">
        <v>10</v>
      </c>
      <c r="X6" s="1">
        <f>F10</f>
        <v>0</v>
      </c>
      <c r="Y6" s="1">
        <f>G10</f>
        <v>0</v>
      </c>
      <c r="Z6" s="1">
        <f>H10</f>
        <v>0</v>
      </c>
      <c r="AA6" s="1">
        <f>I10</f>
        <v>0</v>
      </c>
      <c r="AB6" s="1">
        <f>J10</f>
        <v>0</v>
      </c>
      <c r="AC6" s="1">
        <f>K11</f>
        <v>0</v>
      </c>
      <c r="AD6" s="1">
        <f>L12</f>
        <v>0</v>
      </c>
      <c r="AE6" s="1">
        <f>M13</f>
        <v>0</v>
      </c>
      <c r="AF6" s="1">
        <f>N14</f>
        <v>0</v>
      </c>
      <c r="AG6" s="1">
        <f>O15</f>
        <v>0</v>
      </c>
      <c r="AH6" s="1">
        <f t="shared" ref="AH6:AL6" si="0">P15</f>
        <v>0</v>
      </c>
      <c r="AI6" s="1">
        <f t="shared" si="0"/>
        <v>0</v>
      </c>
      <c r="AJ6" s="1">
        <f t="shared" si="0"/>
        <v>0</v>
      </c>
      <c r="AK6" s="1">
        <f t="shared" si="0"/>
        <v>0</v>
      </c>
      <c r="AL6" s="1">
        <f t="shared" si="0"/>
        <v>0</v>
      </c>
      <c r="AO6" s="1">
        <f>$AN5</f>
        <v>10</v>
      </c>
      <c r="AP6" s="1">
        <f t="shared" ref="AP6:BC6" si="1">$AN5</f>
        <v>10</v>
      </c>
      <c r="AQ6" s="1">
        <f t="shared" si="1"/>
        <v>10</v>
      </c>
      <c r="AR6" s="1">
        <f t="shared" si="1"/>
        <v>10</v>
      </c>
      <c r="AS6" s="1">
        <f t="shared" si="1"/>
        <v>10</v>
      </c>
      <c r="AT6" s="1">
        <f t="shared" si="1"/>
        <v>10</v>
      </c>
      <c r="AU6" s="1">
        <f t="shared" si="1"/>
        <v>10</v>
      </c>
      <c r="AV6" s="1">
        <f t="shared" si="1"/>
        <v>10</v>
      </c>
      <c r="AW6" s="1">
        <f t="shared" si="1"/>
        <v>10</v>
      </c>
      <c r="AX6" s="1">
        <f t="shared" si="1"/>
        <v>10</v>
      </c>
      <c r="AY6" s="1">
        <f t="shared" si="1"/>
        <v>10</v>
      </c>
      <c r="AZ6" s="1">
        <f t="shared" si="1"/>
        <v>10</v>
      </c>
      <c r="BA6" s="1">
        <f t="shared" si="1"/>
        <v>10</v>
      </c>
      <c r="BB6" s="1">
        <f t="shared" si="1"/>
        <v>10</v>
      </c>
      <c r="BC6" s="1">
        <f t="shared" si="1"/>
        <v>10</v>
      </c>
    </row>
    <row r="7" spans="2:55" x14ac:dyDescent="0.3">
      <c r="E7" s="1">
        <f>E8+0.2</f>
        <v>1.5999999999999999</v>
      </c>
      <c r="F7" s="1">
        <f>F8+$B$4*$B$2</f>
        <v>6</v>
      </c>
      <c r="G7" s="1">
        <f>0.25*(H20+F20+G19+G21)</f>
        <v>6.0485104449421234</v>
      </c>
      <c r="H7" s="1">
        <f>0.25*(I20+G20+H19+H21)</f>
        <v>6.1130550032424722</v>
      </c>
      <c r="I7" s="1">
        <f>0.25*(J20+H20+I19+I21)</f>
        <v>6.2122067369625675</v>
      </c>
      <c r="J7" s="1">
        <f>0.25*(K20+I20+J19+J21)</f>
        <v>6.3659088253651346</v>
      </c>
      <c r="K7" s="1">
        <f>0.25*(L20+J20+K19+K21)</f>
        <v>6.582040022019271</v>
      </c>
      <c r="L7" s="1">
        <f>0.25*(M20+K20+L19+L21)</f>
        <v>6.8221268828379316</v>
      </c>
      <c r="M7" s="1">
        <f>0.25*(N20+L20+M19+M21)</f>
        <v>7.0541156621481491</v>
      </c>
      <c r="N7" s="1">
        <f>0.25*(O20+M20+N19+N21)</f>
        <v>7.2616052204876009</v>
      </c>
      <c r="O7" s="1">
        <f>0.25*(P20+N20+O19+O21)</f>
        <v>7.4394067761475728</v>
      </c>
      <c r="P7" s="1">
        <f>0.25*(Q20+O20+P19+P21)</f>
        <v>7.5886005534818297</v>
      </c>
      <c r="Q7" s="1">
        <f>0.25*(R20+P20+Q19+Q21)</f>
        <v>7.7134015306932131</v>
      </c>
      <c r="R7" s="1">
        <f>0.25*(S20+Q20+R19+R21)</f>
        <v>7.8194379276329222</v>
      </c>
      <c r="S7" s="1">
        <f>0.25*(T20+R20+S19+S21)</f>
        <v>7.9128714698272331</v>
      </c>
      <c r="T7" s="1">
        <f>T8+B$6*B$2</f>
        <v>8</v>
      </c>
      <c r="U7" s="1">
        <v>9</v>
      </c>
      <c r="W7" s="5" t="s">
        <v>2</v>
      </c>
      <c r="X7" s="1">
        <f>F16</f>
        <v>0</v>
      </c>
      <c r="Y7" s="1">
        <f t="shared" ref="Y7:AL7" si="2">G16</f>
        <v>0.2</v>
      </c>
      <c r="Z7" s="1">
        <f t="shared" si="2"/>
        <v>0.4</v>
      </c>
      <c r="AA7" s="1">
        <f t="shared" si="2"/>
        <v>0.60000000000000009</v>
      </c>
      <c r="AB7" s="1">
        <f t="shared" si="2"/>
        <v>0.8</v>
      </c>
      <c r="AC7" s="1">
        <f t="shared" si="2"/>
        <v>1</v>
      </c>
      <c r="AD7" s="1">
        <f t="shared" si="2"/>
        <v>1.2</v>
      </c>
      <c r="AE7" s="1">
        <f t="shared" si="2"/>
        <v>1.4</v>
      </c>
      <c r="AF7" s="1">
        <f t="shared" si="2"/>
        <v>1.5999999999999999</v>
      </c>
      <c r="AG7" s="1">
        <f t="shared" si="2"/>
        <v>1.7999999999999998</v>
      </c>
      <c r="AH7" s="1">
        <f t="shared" si="2"/>
        <v>1.9999999999999998</v>
      </c>
      <c r="AI7" s="1">
        <f t="shared" si="2"/>
        <v>2.1999999999999997</v>
      </c>
      <c r="AJ7" s="1">
        <f t="shared" si="2"/>
        <v>2.4</v>
      </c>
      <c r="AK7" s="1">
        <f t="shared" si="2"/>
        <v>2.6</v>
      </c>
      <c r="AL7" s="1">
        <f t="shared" si="2"/>
        <v>2.8000000000000003</v>
      </c>
      <c r="AN7" s="5" t="s">
        <v>2</v>
      </c>
      <c r="AO7" s="1">
        <f>F16</f>
        <v>0</v>
      </c>
      <c r="AP7" s="1">
        <f t="shared" ref="AP7:BC7" si="3">G16</f>
        <v>0.2</v>
      </c>
      <c r="AQ7" s="1">
        <f t="shared" si="3"/>
        <v>0.4</v>
      </c>
      <c r="AR7" s="1">
        <f t="shared" si="3"/>
        <v>0.60000000000000009</v>
      </c>
      <c r="AS7" s="1">
        <f t="shared" si="3"/>
        <v>0.8</v>
      </c>
      <c r="AT7" s="1">
        <f t="shared" si="3"/>
        <v>1</v>
      </c>
      <c r="AU7" s="1">
        <f t="shared" si="3"/>
        <v>1.2</v>
      </c>
      <c r="AV7" s="1">
        <f t="shared" si="3"/>
        <v>1.4</v>
      </c>
      <c r="AW7" s="1">
        <f t="shared" si="3"/>
        <v>1.5999999999999999</v>
      </c>
      <c r="AX7" s="1">
        <f t="shared" si="3"/>
        <v>1.7999999999999998</v>
      </c>
      <c r="AY7" s="1">
        <f t="shared" si="3"/>
        <v>1.9999999999999998</v>
      </c>
      <c r="AZ7" s="1">
        <f t="shared" si="3"/>
        <v>2.1999999999999997</v>
      </c>
      <c r="BA7" s="1">
        <f t="shared" si="3"/>
        <v>2.4</v>
      </c>
      <c r="BB7" s="1">
        <f t="shared" si="3"/>
        <v>2.6</v>
      </c>
      <c r="BC7" s="1">
        <f t="shared" si="3"/>
        <v>2.8000000000000003</v>
      </c>
    </row>
    <row r="8" spans="2:55" x14ac:dyDescent="0.3">
      <c r="E8" s="1">
        <f>E9+0.2</f>
        <v>1.4</v>
      </c>
      <c r="F8" s="1">
        <f>F9+$B$4*$B$2</f>
        <v>4</v>
      </c>
      <c r="G8" s="1">
        <f>0.25*(H21+F21+G20+G22)</f>
        <v>4.0526421221024886</v>
      </c>
      <c r="H8" s="1">
        <f>0.25*(I21+G21+H20+H22)</f>
        <v>4.1266346579126392</v>
      </c>
      <c r="I8" s="1">
        <f>0.25*(J21+H21+I20+I22)</f>
        <v>4.2517900879311741</v>
      </c>
      <c r="J8" s="1">
        <f>0.25*(K21+I21+J20+J22)</f>
        <v>4.4741713259374842</v>
      </c>
      <c r="K8" s="1">
        <f>0.25*(L21+J21+K20+K22)</f>
        <v>4.8432373796099899</v>
      </c>
      <c r="L8" s="1">
        <f>0.25*(M21+K21+L20+L22)</f>
        <v>5.2420610818792799</v>
      </c>
      <c r="M8" s="1">
        <f>0.25*(N21+L21+M20+M22)</f>
        <v>5.6105813845202563</v>
      </c>
      <c r="N8" s="1">
        <f>0.25*(O21+M21+N20+N22)</f>
        <v>5.9287082239147795</v>
      </c>
      <c r="O8" s="1">
        <f>0.25*(P21+N21+O20+O22)</f>
        <v>6.1944148567711927</v>
      </c>
      <c r="P8" s="1">
        <f>0.25*(Q21+O21+P20+P22)</f>
        <v>6.4131650028083698</v>
      </c>
      <c r="Q8" s="1">
        <f>0.25*(R21+P21+Q20+Q22)</f>
        <v>6.5934590754957281</v>
      </c>
      <c r="R8" s="1">
        <f>0.25*(S21+Q21+R20+R22)</f>
        <v>6.7448748765084563</v>
      </c>
      <c r="S8" s="1">
        <f>0.25*(T21+R21+S20+S22)</f>
        <v>6.8771791262101294</v>
      </c>
      <c r="T8" s="1">
        <f>T9+B$6*B$2</f>
        <v>7</v>
      </c>
      <c r="U8" s="1">
        <v>8</v>
      </c>
      <c r="W8" s="5" t="s">
        <v>3</v>
      </c>
      <c r="X8" s="1">
        <f>$E10</f>
        <v>1</v>
      </c>
      <c r="Y8" s="1">
        <f>$E10</f>
        <v>1</v>
      </c>
      <c r="Z8" s="1">
        <f>$E10</f>
        <v>1</v>
      </c>
      <c r="AA8" s="1">
        <f>$E10</f>
        <v>1</v>
      </c>
      <c r="AB8" s="1">
        <f>$E10</f>
        <v>1</v>
      </c>
      <c r="AC8" s="1">
        <f>E11</f>
        <v>0.8</v>
      </c>
      <c r="AD8" s="1">
        <f>E12</f>
        <v>0.60000000000000009</v>
      </c>
      <c r="AE8" s="1">
        <f>E13</f>
        <v>0.40000000000000008</v>
      </c>
      <c r="AF8" s="1">
        <f>E14</f>
        <v>0.20000000000000007</v>
      </c>
      <c r="AG8" s="1">
        <f>$E15</f>
        <v>0</v>
      </c>
      <c r="AH8" s="1">
        <f t="shared" ref="AH8:AL8" si="4">$E15</f>
        <v>0</v>
      </c>
      <c r="AI8" s="1">
        <f t="shared" si="4"/>
        <v>0</v>
      </c>
      <c r="AJ8" s="1">
        <f t="shared" si="4"/>
        <v>0</v>
      </c>
      <c r="AK8" s="1">
        <f t="shared" si="4"/>
        <v>0</v>
      </c>
      <c r="AL8" s="1">
        <f t="shared" si="4"/>
        <v>0</v>
      </c>
      <c r="AN8" s="5" t="s">
        <v>3</v>
      </c>
      <c r="AO8" s="1">
        <f>$E5</f>
        <v>1.9999999999999998</v>
      </c>
      <c r="AP8" s="1">
        <f t="shared" ref="AP8:BC8" si="5">$E5</f>
        <v>1.9999999999999998</v>
      </c>
      <c r="AQ8" s="1">
        <f t="shared" si="5"/>
        <v>1.9999999999999998</v>
      </c>
      <c r="AR8" s="1">
        <f t="shared" si="5"/>
        <v>1.9999999999999998</v>
      </c>
      <c r="AS8" s="1">
        <f t="shared" si="5"/>
        <v>1.9999999999999998</v>
      </c>
      <c r="AT8" s="1">
        <f t="shared" si="5"/>
        <v>1.9999999999999998</v>
      </c>
      <c r="AU8" s="1">
        <f t="shared" si="5"/>
        <v>1.9999999999999998</v>
      </c>
      <c r="AV8" s="1">
        <f t="shared" si="5"/>
        <v>1.9999999999999998</v>
      </c>
      <c r="AW8" s="1">
        <f t="shared" si="5"/>
        <v>1.9999999999999998</v>
      </c>
      <c r="AX8" s="1">
        <f t="shared" si="5"/>
        <v>1.9999999999999998</v>
      </c>
      <c r="AY8" s="1">
        <f t="shared" si="5"/>
        <v>1.9999999999999998</v>
      </c>
      <c r="AZ8" s="1">
        <f t="shared" si="5"/>
        <v>1.9999999999999998</v>
      </c>
      <c r="BA8" s="1">
        <f t="shared" si="5"/>
        <v>1.9999999999999998</v>
      </c>
      <c r="BB8" s="1">
        <f t="shared" si="5"/>
        <v>1.9999999999999998</v>
      </c>
      <c r="BC8" s="1">
        <f t="shared" si="5"/>
        <v>1.9999999999999998</v>
      </c>
    </row>
    <row r="9" spans="2:55" x14ac:dyDescent="0.3">
      <c r="E9" s="1">
        <f>E10+0.2</f>
        <v>1.2</v>
      </c>
      <c r="F9" s="1">
        <f>F10+$B$4*$B$2</f>
        <v>2</v>
      </c>
      <c r="G9" s="1">
        <f>0.25*(H22+F22+G21+G23)</f>
        <v>2.0354233850901187</v>
      </c>
      <c r="H9" s="1">
        <f>0.25*(I22+G22+H21+H23)</f>
        <v>2.0890514182096966</v>
      </c>
      <c r="I9" s="1">
        <f>0.25*(J22+H22+I21+I23)</f>
        <v>2.1941476291817645</v>
      </c>
      <c r="J9" s="1">
        <f>0.25*(K22+I22+J21+J23)</f>
        <v>2.4357490103959103</v>
      </c>
      <c r="K9" s="1">
        <f>0.25*(L22+J22+K21+K23)</f>
        <v>3.0746770844381714</v>
      </c>
      <c r="L9" s="1">
        <f>0.25*(M22+K22+L21+L23)</f>
        <v>3.6922986796097317</v>
      </c>
      <c r="M9" s="1">
        <f>0.25*(N22+L22+M21+M23)</f>
        <v>4.2174405629041143</v>
      </c>
      <c r="N9" s="1">
        <f>0.25*(O22+M22+N21+N23)</f>
        <v>4.6482314325257237</v>
      </c>
      <c r="O9" s="1">
        <f>0.25*(P22+N22+O21+O23)</f>
        <v>4.9963794154770396</v>
      </c>
      <c r="P9" s="1">
        <f>0.25*(Q22+O22+P21+P23)</f>
        <v>5.2761855241179259</v>
      </c>
      <c r="Q9" s="1">
        <f>0.25*(R22+P22+Q21+Q23)</f>
        <v>5.5023948847703732</v>
      </c>
      <c r="R9" s="1">
        <f>0.25*(S22+Q22+R21+R23)</f>
        <v>5.6894233758344361</v>
      </c>
      <c r="S9" s="1">
        <f>0.25*(T22+R22+S21+S23)</f>
        <v>5.850970155714915</v>
      </c>
      <c r="T9" s="1">
        <f>T10+B$6*B$2</f>
        <v>6</v>
      </c>
      <c r="U9" s="1">
        <v>7</v>
      </c>
      <c r="W9" s="5" t="s">
        <v>0</v>
      </c>
      <c r="X9" s="1">
        <f>F36</f>
        <v>10</v>
      </c>
      <c r="Y9" s="1">
        <f t="shared" ref="Y9:AB9" si="6">G36</f>
        <v>10.177116925450592</v>
      </c>
      <c r="Z9" s="1">
        <f t="shared" si="6"/>
        <v>10.445257091048482</v>
      </c>
      <c r="AA9" s="1">
        <f t="shared" si="6"/>
        <v>10.970738145908822</v>
      </c>
      <c r="AB9" s="1">
        <f t="shared" si="6"/>
        <v>12.178745051979551</v>
      </c>
      <c r="AC9" s="1">
        <f>K37</f>
        <v>6.6371163376304683</v>
      </c>
      <c r="AD9" s="1">
        <f>L38</f>
        <v>5.0084561611423135</v>
      </c>
      <c r="AE9" s="1">
        <f>M39</f>
        <v>3.993158722596045</v>
      </c>
      <c r="AF9" s="1">
        <f>N40</f>
        <v>3.1416989720698139</v>
      </c>
      <c r="AG9" s="1">
        <f>O41</f>
        <v>2.1832324129496574</v>
      </c>
      <c r="AH9" s="1">
        <f t="shared" ref="AH9:AL9" si="7">P41</f>
        <v>3.280023929810628</v>
      </c>
      <c r="AI9" s="1">
        <f t="shared" si="7"/>
        <v>3.9307645879413688</v>
      </c>
      <c r="AJ9" s="1">
        <f t="shared" si="7"/>
        <v>4.3713260072446714</v>
      </c>
      <c r="AK9" s="1">
        <f t="shared" si="7"/>
        <v>4.7077638383260272</v>
      </c>
      <c r="AL9" s="1">
        <f t="shared" si="7"/>
        <v>5</v>
      </c>
      <c r="AN9" s="5" t="s">
        <v>0</v>
      </c>
      <c r="AO9" s="1">
        <f>F31</f>
        <v>10</v>
      </c>
      <c r="AP9" s="1">
        <f t="shared" ref="AP9:BC9" si="8">G31</f>
        <v>9.8582767282506367</v>
      </c>
      <c r="AQ9" s="1">
        <f t="shared" si="8"/>
        <v>9.6756591390812119</v>
      </c>
      <c r="AR9" s="1">
        <f t="shared" si="8"/>
        <v>9.4096348447615341</v>
      </c>
      <c r="AS9" s="1">
        <f t="shared" si="8"/>
        <v>9.0239139295754267</v>
      </c>
      <c r="AT9" s="1">
        <f t="shared" si="8"/>
        <v>8.5155650015292217</v>
      </c>
      <c r="AU9" s="1">
        <f t="shared" si="8"/>
        <v>7.9485461965260207</v>
      </c>
      <c r="AV9" s="1">
        <f t="shared" si="8"/>
        <v>7.389254200846862</v>
      </c>
      <c r="AW9" s="1">
        <f t="shared" si="8"/>
        <v>6.8790489329331894</v>
      </c>
      <c r="AX9" s="1">
        <f t="shared" si="8"/>
        <v>6.4349676361105956</v>
      </c>
      <c r="AY9" s="1">
        <f t="shared" si="8"/>
        <v>6.0578555098811648</v>
      </c>
      <c r="AZ9" s="1">
        <f t="shared" si="8"/>
        <v>5.7394571735471622</v>
      </c>
      <c r="BA9" s="1">
        <f t="shared" si="8"/>
        <v>5.466980852010197</v>
      </c>
      <c r="BB9" s="1">
        <f t="shared" si="8"/>
        <v>5.2256558743506698</v>
      </c>
      <c r="BC9" s="1">
        <f t="shared" si="8"/>
        <v>5</v>
      </c>
    </row>
    <row r="10" spans="2:55" x14ac:dyDescent="0.3">
      <c r="B10" s="1">
        <v>300</v>
      </c>
      <c r="E10" s="1">
        <v>1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f>0.25*(L23+J23+K22+K24)</f>
        <v>1.3274232675260937</v>
      </c>
      <c r="L10" s="1">
        <f>0.25*(M23+K23+L22+L24)</f>
        <v>2.2350159834565906</v>
      </c>
      <c r="M10" s="1">
        <f>0.25*(N23+L23+M22+M24)</f>
        <v>2.9186507537110304</v>
      </c>
      <c r="N10" s="1">
        <f>0.25*(O23+M23+N22+N24)</f>
        <v>3.4503975187106559</v>
      </c>
      <c r="O10" s="1">
        <f>0.25*(P23+N23+O22+O24)</f>
        <v>3.8666858469007837</v>
      </c>
      <c r="P10" s="1">
        <f>0.25*(Q23+O23+P22+P24)</f>
        <v>4.1928027839264601</v>
      </c>
      <c r="Q10" s="1">
        <f>0.25*(R23+P23+Q22+Q24)</f>
        <v>4.4505115622930269</v>
      </c>
      <c r="R10" s="1">
        <f>0.25*(S23+Q23+R22+R24)</f>
        <v>4.6594535802917614</v>
      </c>
      <c r="S10" s="1">
        <f>0.25*(T23+R23+S22+S24)</f>
        <v>4.837278120292023</v>
      </c>
      <c r="T10" s="1">
        <f>T11+B$6*B$2</f>
        <v>5</v>
      </c>
      <c r="U10" s="1">
        <v>6</v>
      </c>
      <c r="W10" s="5" t="s">
        <v>1</v>
      </c>
      <c r="X10" s="1">
        <f>F49</f>
        <v>0</v>
      </c>
      <c r="Y10" s="1">
        <f t="shared" ref="Y10:AC10" si="9">G49</f>
        <v>0</v>
      </c>
      <c r="Z10" s="1">
        <f t="shared" si="9"/>
        <v>0</v>
      </c>
      <c r="AA10" s="1">
        <f t="shared" si="9"/>
        <v>0</v>
      </c>
      <c r="AB10" s="1">
        <f t="shared" si="9"/>
        <v>-6.6371163381070764</v>
      </c>
      <c r="AC10" s="1">
        <f t="shared" si="9"/>
        <v>-5.5875399616875754</v>
      </c>
      <c r="AD10" s="1">
        <f>L51</f>
        <v>-3.9931587231634222</v>
      </c>
      <c r="AE10" s="1">
        <f>M52</f>
        <v>-3.1416989725703668</v>
      </c>
      <c r="AF10" s="1">
        <f>N53</f>
        <v>-2.1832324132976622</v>
      </c>
      <c r="AG10" s="1">
        <f>O54</f>
        <v>0</v>
      </c>
      <c r="AH10" s="1">
        <f t="shared" ref="AH10:AL10" si="10">P54</f>
        <v>0</v>
      </c>
      <c r="AI10" s="1">
        <f t="shared" si="10"/>
        <v>0</v>
      </c>
      <c r="AJ10" s="1">
        <f t="shared" si="10"/>
        <v>0</v>
      </c>
      <c r="AK10" s="1">
        <f t="shared" si="10"/>
        <v>0</v>
      </c>
      <c r="AL10" s="1">
        <f t="shared" si="10"/>
        <v>0</v>
      </c>
      <c r="AN10" s="5" t="s">
        <v>1</v>
      </c>
      <c r="AO10" s="1">
        <f>F44</f>
        <v>0</v>
      </c>
      <c r="AP10" s="1">
        <f t="shared" ref="AP10:BC10" si="11">G44</f>
        <v>0</v>
      </c>
      <c r="AQ10" s="1">
        <f t="shared" si="11"/>
        <v>0</v>
      </c>
      <c r="AR10" s="1">
        <f t="shared" si="11"/>
        <v>0</v>
      </c>
      <c r="AS10" s="1">
        <f t="shared" si="11"/>
        <v>0</v>
      </c>
      <c r="AT10" s="1">
        <f t="shared" si="11"/>
        <v>0</v>
      </c>
      <c r="AU10" s="1">
        <f t="shared" si="11"/>
        <v>0</v>
      </c>
      <c r="AV10" s="1">
        <f t="shared" si="11"/>
        <v>0</v>
      </c>
      <c r="AW10" s="1">
        <f t="shared" si="11"/>
        <v>0</v>
      </c>
      <c r="AX10" s="1">
        <f t="shared" si="11"/>
        <v>0</v>
      </c>
      <c r="AY10" s="1">
        <f t="shared" si="11"/>
        <v>0</v>
      </c>
      <c r="AZ10" s="1">
        <f t="shared" si="11"/>
        <v>0</v>
      </c>
      <c r="BA10" s="1">
        <f t="shared" si="11"/>
        <v>0</v>
      </c>
      <c r="BB10" s="1">
        <f t="shared" si="11"/>
        <v>0</v>
      </c>
      <c r="BC10" s="1">
        <f t="shared" si="11"/>
        <v>0</v>
      </c>
    </row>
    <row r="11" spans="2:55" x14ac:dyDescent="0.3">
      <c r="E11" s="1">
        <f>E10-0.2</f>
        <v>0.8</v>
      </c>
      <c r="K11" s="1">
        <v>0</v>
      </c>
      <c r="L11" s="1">
        <f>0.25*(M24+K24+L23+L25)</f>
        <v>1.0016912322284628</v>
      </c>
      <c r="M11" s="1">
        <f>0.25*(N24+L24+M23+M25)</f>
        <v>1.7717489428953836</v>
      </c>
      <c r="N11" s="1">
        <f>0.25*(O24+M24+N23+N25)</f>
        <v>2.3680220402947394</v>
      </c>
      <c r="O11" s="1">
        <f>0.25*(P24+N24+O23+O25)</f>
        <v>2.8271636598959096</v>
      </c>
      <c r="P11" s="1">
        <f>0.25*(Q24+O24+P23+P25)</f>
        <v>3.1778282008445418</v>
      </c>
      <c r="Q11" s="1">
        <f>0.25*(R24+P24+Q23+Q25)</f>
        <v>3.4473949918568874</v>
      </c>
      <c r="R11" s="1">
        <f>0.25*(S24+Q24+R23+R25)</f>
        <v>3.6606012617410411</v>
      </c>
      <c r="S11" s="1">
        <f>0.25*(T24+R24+S23+S25)</f>
        <v>3.8386887418784421</v>
      </c>
      <c r="T11" s="1">
        <f>T12+B$6*B$2</f>
        <v>4</v>
      </c>
      <c r="U11" s="1">
        <v>5</v>
      </c>
      <c r="W11" s="5" t="s">
        <v>4</v>
      </c>
      <c r="X11" s="1">
        <f>(X9^2+X10^2)^0.5</f>
        <v>10</v>
      </c>
      <c r="Y11" s="1">
        <f>(Y9^2+Y10^2)^0.5</f>
        <v>10.177116925450592</v>
      </c>
      <c r="Z11" s="1">
        <f>(Z9^2+Z10^2)^0.5</f>
        <v>10.445257091048482</v>
      </c>
      <c r="AA11" s="1">
        <f>(AA9^2+AA10^2)^0.5</f>
        <v>10.970738145908822</v>
      </c>
      <c r="AB11" s="1">
        <f>(AB9^2+AB10^2)^0.5</f>
        <v>13.869864610971668</v>
      </c>
      <c r="AC11" s="1">
        <f>(AC9^2+AC10^2)^0.5</f>
        <v>8.6759389176444106</v>
      </c>
      <c r="AD11" s="1">
        <f>(AD9^2+AD10^2)^0.5</f>
        <v>6.4054624896615024</v>
      </c>
      <c r="AE11" s="1">
        <f>(AE9^2+AE10^2)^0.5</f>
        <v>5.0809043504178053</v>
      </c>
      <c r="AF11" s="1">
        <f>(AF9^2+AF10^2)^0.5</f>
        <v>3.8258039941400628</v>
      </c>
      <c r="AG11" s="1">
        <f>(AG9^2+AG10^2)^0.5</f>
        <v>2.1832324129496574</v>
      </c>
      <c r="AH11" s="1">
        <f>(AH9^2+AH10^2)^0.5</f>
        <v>3.280023929810628</v>
      </c>
      <c r="AI11" s="1">
        <f>(AI9^2+AI10^2)^0.5</f>
        <v>3.9307645879413688</v>
      </c>
      <c r="AJ11" s="1">
        <f>(AJ9^2+AJ10^2)^0.5</f>
        <v>4.3713260072446714</v>
      </c>
      <c r="AK11" s="1">
        <f>(AK9^2+AK10^2)^0.5</f>
        <v>4.7077638383260272</v>
      </c>
      <c r="AL11" s="1">
        <f>(AL9^2+AL10^2)^0.5</f>
        <v>5</v>
      </c>
      <c r="AN11" s="5" t="s">
        <v>4</v>
      </c>
      <c r="AO11" s="1">
        <f>(AO9^2+AO10^2)^0.5</f>
        <v>10</v>
      </c>
      <c r="AP11" s="1">
        <f>(AP9^2+AP10^2)^0.5</f>
        <v>9.8582767282506367</v>
      </c>
      <c r="AQ11" s="1">
        <f>(AQ9^2+AQ10^2)^0.5</f>
        <v>9.6756591390812119</v>
      </c>
      <c r="AR11" s="1">
        <f>(AR9^2+AR10^2)^0.5</f>
        <v>9.4096348447615341</v>
      </c>
      <c r="AS11" s="1">
        <f>(AS9^2+AS10^2)^0.5</f>
        <v>9.0239139295754267</v>
      </c>
      <c r="AT11" s="1">
        <f>(AT9^2+AT10^2)^0.5</f>
        <v>8.5155650015292217</v>
      </c>
      <c r="AU11" s="1">
        <f>(AU9^2+AU10^2)^0.5</f>
        <v>7.9485461965260207</v>
      </c>
      <c r="AV11" s="1">
        <f>(AV9^2+AV10^2)^0.5</f>
        <v>7.389254200846862</v>
      </c>
      <c r="AW11" s="1">
        <f>(AW9^2+AW10^2)^0.5</f>
        <v>6.8790489329331894</v>
      </c>
      <c r="AX11" s="1">
        <f>(AX9^2+AX10^2)^0.5</f>
        <v>6.4349676361105956</v>
      </c>
      <c r="AY11" s="1">
        <f>(AY9^2+AY10^2)^0.5</f>
        <v>6.0578555098811648</v>
      </c>
      <c r="AZ11" s="1">
        <f>(AZ9^2+AZ10^2)^0.5</f>
        <v>5.7394571735471622</v>
      </c>
      <c r="BA11" s="1">
        <f>(BA9^2+BA10^2)^0.5</f>
        <v>5.466980852010197</v>
      </c>
      <c r="BB11" s="1">
        <f>(BB9^2+BB10^2)^0.5</f>
        <v>5.2256558743506698</v>
      </c>
      <c r="BC11" s="1">
        <f>(BC9^2+BC10^2)^0.5</f>
        <v>5</v>
      </c>
    </row>
    <row r="12" spans="2:55" x14ac:dyDescent="0.3">
      <c r="E12" s="1">
        <f>E11-0.2</f>
        <v>0.60000000000000009</v>
      </c>
      <c r="L12" s="1">
        <v>0</v>
      </c>
      <c r="M12" s="1">
        <f>0.25*(N25+L25+M24+M26)</f>
        <v>0.79863174451920904</v>
      </c>
      <c r="N12" s="1">
        <f>0.25*(O25+M25+N24+N26)</f>
        <v>1.4227780325510211</v>
      </c>
      <c r="O12" s="1">
        <f>0.25*(P25+N25+O24+O26)</f>
        <v>1.8961185501828735</v>
      </c>
      <c r="P12" s="1">
        <f>0.25*(Q25+O25+P24+P26)</f>
        <v>2.243951359188225</v>
      </c>
      <c r="Q12" s="6">
        <f>0.25*(R25+P25+Q24+Q26)</f>
        <v>2.5006389413128969</v>
      </c>
      <c r="R12" s="1">
        <f>0.25*(S25+Q25+R24+R26)</f>
        <v>2.69686772726712</v>
      </c>
      <c r="S12" s="1">
        <f>0.25*(T25+R25+S24+S26)</f>
        <v>2.8568755849866809</v>
      </c>
      <c r="T12" s="1">
        <f>T13+B$6*B$2</f>
        <v>3</v>
      </c>
      <c r="U12" s="1">
        <v>4</v>
      </c>
      <c r="W12" s="5" t="s">
        <v>5</v>
      </c>
      <c r="X12" s="1">
        <f>B5</f>
        <v>101325</v>
      </c>
      <c r="Y12" s="1">
        <f>(X12+(X11^2)/2)-0.5*Y11^2</f>
        <v>101323.21314554286</v>
      </c>
      <c r="Z12" s="1">
        <f t="shared" ref="Z12:AL12" si="12">(Y12+(Y11^2)/2)-0.5*Z11^2</f>
        <v>101320.44830215095</v>
      </c>
      <c r="AA12" s="1">
        <f t="shared" si="12"/>
        <v>101314.82145226694</v>
      </c>
      <c r="AB12" s="1">
        <f t="shared" si="12"/>
        <v>101278.81342783666</v>
      </c>
      <c r="AC12" s="1">
        <f t="shared" si="12"/>
        <v>101337.36404194865</v>
      </c>
      <c r="AD12" s="1">
        <f t="shared" si="12"/>
        <v>101354.48502514677</v>
      </c>
      <c r="AE12" s="1">
        <f t="shared" si="12"/>
        <v>101362.09220549095</v>
      </c>
      <c r="AF12" s="1">
        <f t="shared" si="12"/>
        <v>101367.68161189921</v>
      </c>
      <c r="AG12" s="1">
        <f t="shared" si="12"/>
        <v>101372.61674811553</v>
      </c>
      <c r="AH12" s="1">
        <f>(AG12+(AG11^2)/2)-0.5*AH11^2</f>
        <v>101369.62072150994</v>
      </c>
      <c r="AI12" s="1">
        <f t="shared" si="12"/>
        <v>101367.27454487709</v>
      </c>
      <c r="AJ12" s="1">
        <f t="shared" si="12"/>
        <v>101365.4457544692</v>
      </c>
      <c r="AK12" s="1">
        <f t="shared" si="12"/>
        <v>101363.91847982128</v>
      </c>
      <c r="AL12" s="1">
        <f>(AK12+(AK11^2)/2)-0.5*AL11^2</f>
        <v>101362.5</v>
      </c>
      <c r="AN12" s="5" t="s">
        <v>5</v>
      </c>
      <c r="AO12" s="9">
        <f>B5</f>
        <v>101325</v>
      </c>
      <c r="AP12" s="9">
        <f>(AO12+(AO11^2)/2)-0.5*AP11^2</f>
        <v>101326.40718997462</v>
      </c>
      <c r="AQ12" s="9">
        <f>(AP12+(AP11^2)/2)-0.5*AQ11^2</f>
        <v>101328.19081011215</v>
      </c>
      <c r="AR12" s="9">
        <f t="shared" ref="AR12" si="13">(AQ12+(AQ11^2)/2)-0.5*AR11^2</f>
        <v>101330.72938604413</v>
      </c>
      <c r="AS12" s="9">
        <f t="shared" ref="AS12" si="14">(AR12+(AR11^2)/2)-0.5*AS11^2</f>
        <v>101334.2844886958</v>
      </c>
      <c r="AT12" s="9">
        <f t="shared" ref="AT12" si="15">(AS12+(AS11^2)/2)-0.5*AT11^2</f>
        <v>101338.74257635236</v>
      </c>
      <c r="AU12" s="9">
        <f t="shared" ref="AU12" si="16">(AT12+(AT11^2)/2)-0.5*AU11^2</f>
        <v>101343.41030668085</v>
      </c>
      <c r="AV12" s="9">
        <f t="shared" ref="AV12" si="17">(AU12+(AU11^2)/2)-0.5*AV11^2</f>
        <v>101347.69946117763</v>
      </c>
      <c r="AW12" s="9">
        <f t="shared" ref="AW12" si="18">(AV12+(AV11^2)/2)-0.5*AW11^2</f>
        <v>101351.33934288916</v>
      </c>
      <c r="AX12" s="9">
        <f t="shared" ref="AX12" si="19">(AW12+(AW11^2)/2)-0.5*AX11^2</f>
        <v>101354.2955957611</v>
      </c>
      <c r="AY12" s="9">
        <f>(AX12+(AX11^2)/2)-0.5*AY11^2</f>
        <v>101356.6511933107</v>
      </c>
      <c r="AZ12" s="9">
        <f t="shared" ref="AZ12" si="20">(AY12+(AY11^2)/2)-0.5*AZ11^2</f>
        <v>101358.52931567651</v>
      </c>
      <c r="BA12" s="9">
        <f t="shared" ref="BA12" si="21">(AZ12+(AZ11^2)/2)-0.5*BA11^2</f>
        <v>101360.05606018187</v>
      </c>
      <c r="BB12" s="9">
        <f t="shared" ref="BB12" si="22">(BA12+(BA11^2)/2)-0.5*BB11^2</f>
        <v>101361.34626034144</v>
      </c>
      <c r="BC12" s="9">
        <f>(BB12+(BB11^2)/2)-0.5*BC11^2</f>
        <v>101362.5</v>
      </c>
    </row>
    <row r="13" spans="2:55" x14ac:dyDescent="0.3">
      <c r="E13" s="1">
        <f>E12-0.2</f>
        <v>0.40000000000000008</v>
      </c>
      <c r="M13" s="1">
        <v>0</v>
      </c>
      <c r="N13" s="1">
        <f t="shared" ref="N13:S13" si="23">0.25*(O26+M26+N25+N27)</f>
        <v>0.62833979441396282</v>
      </c>
      <c r="O13" s="1">
        <f t="shared" si="23"/>
        <v>1.0905811427842067</v>
      </c>
      <c r="P13" s="1">
        <f t="shared" si="23"/>
        <v>1.4012197433129328</v>
      </c>
      <c r="Q13" s="1">
        <f t="shared" si="23"/>
        <v>1.6143416807943323</v>
      </c>
      <c r="R13" s="1">
        <f t="shared" si="23"/>
        <v>1.7693551202695048</v>
      </c>
      <c r="S13" s="1">
        <f t="shared" si="23"/>
        <v>1.8919458683023231</v>
      </c>
      <c r="T13" s="1">
        <f>T14+B$6*B$2</f>
        <v>2</v>
      </c>
      <c r="U13" s="1">
        <v>3</v>
      </c>
      <c r="W13" s="5" t="s">
        <v>6</v>
      </c>
      <c r="X13" s="1">
        <f>(X12-$B5)/(0.5*$B4^2)</f>
        <v>0</v>
      </c>
      <c r="Y13" s="1">
        <f>(Y12-$B5)/(0.5*$B4^2)</f>
        <v>-3.5737089142785408E-2</v>
      </c>
      <c r="Z13" s="1">
        <f>(Z12-$B5)/(0.5*$B4^2)</f>
        <v>-9.103395698097301E-2</v>
      </c>
      <c r="AA13" s="1">
        <f>(AA12-$B5)/(0.5*$B4^2)</f>
        <v>-0.20357095466111785</v>
      </c>
      <c r="AB13" s="1">
        <f>(AB12-$B5)/(0.5*$B4^2)</f>
        <v>-0.92373144326673351</v>
      </c>
      <c r="AC13" s="1">
        <f>(AC12-$B5)/(0.5*$B4^2)</f>
        <v>0.24728083897294709</v>
      </c>
      <c r="AD13" s="1">
        <f>(AD12-$B5)/(0.5*$B4^2)</f>
        <v>0.58970050293544773</v>
      </c>
      <c r="AE13" s="1">
        <f>(AE12-$B5)/(0.5*$B4^2)</f>
        <v>0.74184410981892146</v>
      </c>
      <c r="AF13" s="1">
        <f>(AF12-$B5)/(0.5*$B4^2)</f>
        <v>0.85363223798427501</v>
      </c>
      <c r="AG13" s="1">
        <f>(AG12-$B5)/(0.5*$B4^2)</f>
        <v>0.95233496231056047</v>
      </c>
      <c r="AH13" s="1">
        <f>(AH12-$B5)/(0.5*$B4^2)</f>
        <v>0.8924144301988417</v>
      </c>
      <c r="AI13" s="1">
        <f>(AI12-$B5)/(0.5*$B4^2)</f>
        <v>0.84549089754174933</v>
      </c>
      <c r="AJ13" s="1">
        <f>(AJ12-$B5)/(0.5*$B4^2)</f>
        <v>0.80891508938395418</v>
      </c>
      <c r="AK13" s="1">
        <f>(AK12-$B5)/(0.5*$B4^2)</f>
        <v>0.77836959642561854</v>
      </c>
      <c r="AL13" s="1">
        <f>(AL12-$B5)/(0.5*$B4^2)</f>
        <v>0.75</v>
      </c>
      <c r="AN13" s="5" t="s">
        <v>6</v>
      </c>
      <c r="AO13" s="1">
        <f>(AO12-$B5)/(0.5*$B4^2)</f>
        <v>0</v>
      </c>
      <c r="AP13" s="1">
        <f>(AP12-$B5)/(0.5*$B4^2)</f>
        <v>2.8143799492390827E-2</v>
      </c>
      <c r="AQ13" s="1">
        <f>(AQ12-$B5)/(0.5*$B4^2)</f>
        <v>6.3816202243033332E-2</v>
      </c>
      <c r="AR13" s="1">
        <f>(AR12-$B5)/(0.5*$B4^2)</f>
        <v>0.11458772088255501</v>
      </c>
      <c r="AS13" s="1">
        <f>(AS12-$B5)/(0.5*$B4^2)</f>
        <v>0.18568977391609223</v>
      </c>
      <c r="AT13" s="1">
        <f>(AT12-$B5)/(0.5*$B4^2)</f>
        <v>0.27485152704728533</v>
      </c>
      <c r="AU13" s="1">
        <f>(AU12-$B5)/(0.5*$B4^2)</f>
        <v>0.36820613361691357</v>
      </c>
      <c r="AV13" s="1">
        <f>(AV12-$B5)/(0.5*$B4^2)</f>
        <v>0.45398922355263494</v>
      </c>
      <c r="AW13" s="1">
        <f>(AW12-$B5)/(0.5*$B4^2)</f>
        <v>0.52678685778315415</v>
      </c>
      <c r="AX13" s="1">
        <f>(AX12-$B5)/(0.5*$B4^2)</f>
        <v>0.58591191522195007</v>
      </c>
      <c r="AY13" s="1">
        <f>(AY12-$B5)/(0.5*$B4^2)</f>
        <v>0.63302386621391638</v>
      </c>
      <c r="AZ13" s="1">
        <f>(AZ12-$B5)/(0.5*$B4^2)</f>
        <v>0.67058631353022069</v>
      </c>
      <c r="BA13" s="1">
        <f>(BA12-$B5)/(0.5*$B4^2)</f>
        <v>0.70112120363744912</v>
      </c>
      <c r="BB13" s="1">
        <f>(BB12-$B5)/(0.5*$B4^2)</f>
        <v>0.72692520682874606</v>
      </c>
      <c r="BC13" s="1">
        <f>(BC12-$B5)/(0.5*$B4^2)</f>
        <v>0.75</v>
      </c>
    </row>
    <row r="14" spans="2:55" x14ac:dyDescent="0.3">
      <c r="E14" s="1">
        <f>E13-0.2</f>
        <v>0.20000000000000007</v>
      </c>
      <c r="N14" s="1">
        <v>0</v>
      </c>
      <c r="O14" s="1">
        <f t="shared" ref="O14:S14" si="24">0.25*(P27+N27+O26+O28)</f>
        <v>0.43664648258993149</v>
      </c>
      <c r="P14" s="1">
        <f t="shared" si="24"/>
        <v>0.65600478596212564</v>
      </c>
      <c r="Q14" s="1">
        <f t="shared" si="24"/>
        <v>0.78615291758827377</v>
      </c>
      <c r="R14" s="1">
        <f t="shared" si="24"/>
        <v>0.87426520144893427</v>
      </c>
      <c r="S14" s="1">
        <f t="shared" si="24"/>
        <v>0.94155276766520557</v>
      </c>
      <c r="T14" s="1">
        <f>T15+B$6*B$2</f>
        <v>1</v>
      </c>
      <c r="U14" s="1">
        <v>2</v>
      </c>
    </row>
    <row r="15" spans="2:55" x14ac:dyDescent="0.3">
      <c r="E15" s="1">
        <f>E14-0.2</f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1</v>
      </c>
    </row>
    <row r="16" spans="2:55" x14ac:dyDescent="0.3">
      <c r="F16" s="1">
        <v>0</v>
      </c>
      <c r="G16" s="1">
        <f>F16+0.2</f>
        <v>0.2</v>
      </c>
      <c r="H16" s="1">
        <f t="shared" ref="H16:T16" si="25">G16+0.2</f>
        <v>0.4</v>
      </c>
      <c r="I16" s="1">
        <f t="shared" si="25"/>
        <v>0.60000000000000009</v>
      </c>
      <c r="J16" s="1">
        <f t="shared" si="25"/>
        <v>0.8</v>
      </c>
      <c r="K16" s="1">
        <f t="shared" si="25"/>
        <v>1</v>
      </c>
      <c r="L16" s="1">
        <f t="shared" si="25"/>
        <v>1.2</v>
      </c>
      <c r="M16" s="1">
        <f t="shared" si="25"/>
        <v>1.4</v>
      </c>
      <c r="N16" s="1">
        <f t="shared" si="25"/>
        <v>1.5999999999999999</v>
      </c>
      <c r="O16" s="1">
        <f t="shared" si="25"/>
        <v>1.7999999999999998</v>
      </c>
      <c r="P16" s="1">
        <f t="shared" si="25"/>
        <v>1.9999999999999998</v>
      </c>
      <c r="Q16" s="1">
        <f t="shared" si="25"/>
        <v>2.1999999999999997</v>
      </c>
      <c r="R16" s="1">
        <f t="shared" si="25"/>
        <v>2.4</v>
      </c>
      <c r="S16" s="1">
        <f t="shared" si="25"/>
        <v>2.6</v>
      </c>
      <c r="T16" s="1">
        <f t="shared" si="25"/>
        <v>2.8000000000000003</v>
      </c>
    </row>
    <row r="17" spans="4:38" x14ac:dyDescent="0.3">
      <c r="W17" s="1">
        <v>0.5</v>
      </c>
      <c r="X17" s="3">
        <v>1</v>
      </c>
      <c r="Y17" s="3">
        <v>2</v>
      </c>
      <c r="Z17" s="3">
        <v>3</v>
      </c>
      <c r="AA17" s="3">
        <v>4</v>
      </c>
      <c r="AB17" s="3">
        <v>5</v>
      </c>
      <c r="AC17" s="3">
        <v>6</v>
      </c>
      <c r="AD17" s="3">
        <v>7</v>
      </c>
      <c r="AE17" s="3">
        <v>8</v>
      </c>
      <c r="AF17" s="3">
        <v>9</v>
      </c>
      <c r="AG17" s="3">
        <v>10</v>
      </c>
      <c r="AH17" s="3">
        <v>11</v>
      </c>
      <c r="AI17" s="3">
        <v>12</v>
      </c>
      <c r="AJ17" s="3">
        <v>13</v>
      </c>
      <c r="AK17" s="3">
        <v>14</v>
      </c>
      <c r="AL17" s="3">
        <v>15</v>
      </c>
    </row>
    <row r="18" spans="4:38" x14ac:dyDescent="0.3">
      <c r="E18" s="1">
        <f t="shared" ref="E18:E21" si="26">E19+0.2</f>
        <v>1.9999999999999998</v>
      </c>
      <c r="F18" s="2">
        <v>10</v>
      </c>
      <c r="G18" s="2">
        <v>10</v>
      </c>
      <c r="H18" s="2">
        <v>10</v>
      </c>
      <c r="I18" s="2">
        <v>10</v>
      </c>
      <c r="J18" s="2">
        <v>10</v>
      </c>
      <c r="K18" s="2">
        <v>10</v>
      </c>
      <c r="L18" s="2">
        <v>10</v>
      </c>
      <c r="M18" s="2">
        <v>10</v>
      </c>
      <c r="N18" s="2">
        <v>10</v>
      </c>
      <c r="O18" s="2">
        <v>10</v>
      </c>
      <c r="P18" s="2">
        <v>10</v>
      </c>
      <c r="Q18" s="2">
        <v>10</v>
      </c>
      <c r="R18" s="2">
        <v>10</v>
      </c>
      <c r="S18" s="2">
        <v>10</v>
      </c>
      <c r="T18" s="2">
        <v>10</v>
      </c>
      <c r="U18" s="1">
        <v>11</v>
      </c>
      <c r="X18" s="8">
        <f>$W17</f>
        <v>0.5</v>
      </c>
      <c r="Y18" s="8">
        <f t="shared" ref="Y18:AL18" si="27">$W17</f>
        <v>0.5</v>
      </c>
      <c r="Z18" s="8">
        <f t="shared" si="27"/>
        <v>0.5</v>
      </c>
      <c r="AA18" s="8">
        <f t="shared" si="27"/>
        <v>0.5</v>
      </c>
      <c r="AB18" s="8">
        <f t="shared" si="27"/>
        <v>0.5</v>
      </c>
      <c r="AC18" s="8">
        <f t="shared" si="27"/>
        <v>0.5</v>
      </c>
      <c r="AD18" s="8">
        <f t="shared" si="27"/>
        <v>0.5</v>
      </c>
      <c r="AE18" s="8">
        <f t="shared" si="27"/>
        <v>0.5</v>
      </c>
      <c r="AF18" s="8">
        <f t="shared" si="27"/>
        <v>0.5</v>
      </c>
      <c r="AG18" s="8">
        <f t="shared" si="27"/>
        <v>0.5</v>
      </c>
      <c r="AH18" s="8">
        <f t="shared" si="27"/>
        <v>0.5</v>
      </c>
      <c r="AI18" s="8">
        <f t="shared" si="27"/>
        <v>0.5</v>
      </c>
      <c r="AJ18" s="8">
        <f t="shared" si="27"/>
        <v>0.5</v>
      </c>
      <c r="AK18" s="8">
        <f t="shared" si="27"/>
        <v>0.5</v>
      </c>
      <c r="AL18" s="8">
        <f t="shared" si="27"/>
        <v>0.5</v>
      </c>
    </row>
    <row r="19" spans="4:38" x14ac:dyDescent="0.3">
      <c r="E19" s="1">
        <f t="shared" si="26"/>
        <v>1.7999999999999998</v>
      </c>
      <c r="F19" s="1">
        <v>8</v>
      </c>
      <c r="G19" s="1">
        <v>8.0283446543616748</v>
      </c>
      <c r="H19" s="1">
        <v>8.0648681723378637</v>
      </c>
      <c r="I19" s="1">
        <v>8.1180730310890894</v>
      </c>
      <c r="J19" s="1">
        <v>8.1952172144623852</v>
      </c>
      <c r="K19" s="1">
        <v>8.2968869997794705</v>
      </c>
      <c r="L19" s="1">
        <v>8.410290761370451</v>
      </c>
      <c r="M19" s="1">
        <v>8.5221491599629005</v>
      </c>
      <c r="N19" s="1">
        <v>8.6241902143175579</v>
      </c>
      <c r="O19" s="1">
        <v>8.7130064729300258</v>
      </c>
      <c r="P19" s="1">
        <v>8.7884288989075934</v>
      </c>
      <c r="Q19" s="1">
        <v>8.8521085654133991</v>
      </c>
      <c r="R19" s="1">
        <v>8.9066038301471053</v>
      </c>
      <c r="S19" s="1">
        <v>8.9548688251770709</v>
      </c>
      <c r="T19" s="1">
        <v>9</v>
      </c>
      <c r="U19" s="1">
        <v>10</v>
      </c>
      <c r="W19" s="5" t="s">
        <v>2</v>
      </c>
      <c r="X19" s="1">
        <f>F16</f>
        <v>0</v>
      </c>
      <c r="Y19" s="1">
        <f t="shared" ref="Y19:AL19" si="28">G16</f>
        <v>0.2</v>
      </c>
      <c r="Z19" s="1">
        <f t="shared" si="28"/>
        <v>0.4</v>
      </c>
      <c r="AA19" s="1">
        <f t="shared" si="28"/>
        <v>0.60000000000000009</v>
      </c>
      <c r="AB19" s="1">
        <f t="shared" si="28"/>
        <v>0.8</v>
      </c>
      <c r="AC19" s="1">
        <f t="shared" si="28"/>
        <v>1</v>
      </c>
      <c r="AD19" s="1">
        <f t="shared" si="28"/>
        <v>1.2</v>
      </c>
      <c r="AE19" s="1">
        <f t="shared" si="28"/>
        <v>1.4</v>
      </c>
      <c r="AF19" s="1">
        <f t="shared" si="28"/>
        <v>1.5999999999999999</v>
      </c>
      <c r="AG19" s="1">
        <f t="shared" si="28"/>
        <v>1.7999999999999998</v>
      </c>
      <c r="AH19" s="1">
        <f t="shared" si="28"/>
        <v>1.9999999999999998</v>
      </c>
      <c r="AI19" s="1">
        <f t="shared" si="28"/>
        <v>2.1999999999999997</v>
      </c>
      <c r="AJ19" s="1">
        <f t="shared" si="28"/>
        <v>2.4</v>
      </c>
      <c r="AK19" s="1">
        <f t="shared" si="28"/>
        <v>2.6</v>
      </c>
      <c r="AL19" s="1">
        <f t="shared" si="28"/>
        <v>2.8000000000000003</v>
      </c>
    </row>
    <row r="20" spans="4:38" x14ac:dyDescent="0.3">
      <c r="E20" s="1">
        <f t="shared" si="26"/>
        <v>1.5999999999999999</v>
      </c>
      <c r="F20" s="1">
        <v>6</v>
      </c>
      <c r="G20" s="1">
        <v>6.0485104450616243</v>
      </c>
      <c r="H20" s="1">
        <v>6.1130550032842663</v>
      </c>
      <c r="I20" s="1">
        <v>6.2122067373905256</v>
      </c>
      <c r="J20" s="1">
        <v>6.3659088254710996</v>
      </c>
      <c r="K20" s="1">
        <v>6.5820400229437865</v>
      </c>
      <c r="L20" s="1">
        <v>6.8221268830368142</v>
      </c>
      <c r="M20" s="1">
        <v>7.0541156636344997</v>
      </c>
      <c r="N20" s="1">
        <v>7.2616052207605239</v>
      </c>
      <c r="O20" s="1">
        <v>7.4394067778863713</v>
      </c>
      <c r="P20" s="1">
        <v>7.5886005537516397</v>
      </c>
      <c r="Q20" s="1">
        <v>7.7134015321075742</v>
      </c>
      <c r="R20" s="1">
        <v>7.8194379278013733</v>
      </c>
      <c r="S20" s="1">
        <v>7.9128714703723579</v>
      </c>
      <c r="T20" s="1">
        <v>8</v>
      </c>
      <c r="U20" s="1">
        <v>9</v>
      </c>
      <c r="W20" s="5" t="s">
        <v>3</v>
      </c>
      <c r="X20" s="7">
        <f>$E$10+($E$9-$E$10)/(F9/$W$17)</f>
        <v>1.05</v>
      </c>
      <c r="Y20" s="7">
        <f>$E$10+($E$9-$E$10)/(G9/$W$17)</f>
        <v>1.0491298275987786</v>
      </c>
      <c r="Z20" s="7">
        <f>$E$10+($E$9-$E$10)/(H9/$W$17)</f>
        <v>1.0478686159317703</v>
      </c>
      <c r="AA20" s="7">
        <f>$E$10+($E$9-$E$10)/(I9/$W$17)</f>
        <v>1.04557578472388</v>
      </c>
      <c r="AB20" s="7">
        <f>$E$10+($E$9-$E$10)/(J9/$W$17)</f>
        <v>1.0410551331739004</v>
      </c>
      <c r="AC20" s="7">
        <f>$E$11+($E$10-$E$11)/(K10/$W$17)</f>
        <v>0.87533392132440857</v>
      </c>
      <c r="AD20" s="7">
        <f>$E$12+($E$11-$E$12)/(L11/$W$17)</f>
        <v>0.69983116232087805</v>
      </c>
      <c r="AE20" s="7">
        <f>$E$13+($E$12-$E$13)/(M12/$W$17)</f>
        <v>0.52521415619435707</v>
      </c>
      <c r="AF20" s="7">
        <f>$E$14+($E$13-$E$14)/((N13-N14)/$W$17)</f>
        <v>0.35914955711704938</v>
      </c>
      <c r="AG20" s="7">
        <f>$E$14+($E$13-$E$14)/((O13-O14)/$W$17)</f>
        <v>0.3529204767496058</v>
      </c>
      <c r="AH20" s="7">
        <f>$E$15+($E$14-$E$15)/(P14/$W$17)</f>
        <v>0.15243791225293518</v>
      </c>
      <c r="AI20" s="7">
        <f>$E$15+($E$14-$E$15)/(Q14/$W$17)</f>
        <v>0.12720171580202966</v>
      </c>
      <c r="AJ20" s="7">
        <f>$E$15+($E$14-$E$15)/(R14/$W$17)</f>
        <v>0.114381768637558</v>
      </c>
      <c r="AK20" s="7">
        <f>$E$15+($E$14-$E$15)/(S14/$W$17)</f>
        <v>0.10620753656534067</v>
      </c>
      <c r="AL20" s="7">
        <f>$E$15+($E$14-$E$15)/(T14/$W$17)</f>
        <v>0.10000000000000003</v>
      </c>
    </row>
    <row r="21" spans="4:38" x14ac:dyDescent="0.3">
      <c r="E21" s="1">
        <f t="shared" si="26"/>
        <v>1.4</v>
      </c>
      <c r="F21" s="1">
        <v>4</v>
      </c>
      <c r="G21" s="1">
        <v>4.0526421221225526</v>
      </c>
      <c r="H21" s="1">
        <v>4.1266346581798743</v>
      </c>
      <c r="I21" s="1">
        <v>4.2517900880058166</v>
      </c>
      <c r="J21" s="1">
        <v>4.4741713266638401</v>
      </c>
      <c r="K21" s="1">
        <v>4.8432373797896995</v>
      </c>
      <c r="L21" s="1">
        <v>5.2420610834029873</v>
      </c>
      <c r="M21" s="1">
        <v>5.6105813848323587</v>
      </c>
      <c r="N21" s="1">
        <v>5.9287082261119739</v>
      </c>
      <c r="O21" s="1">
        <v>6.1944148571481037</v>
      </c>
      <c r="P21" s="1">
        <v>6.4131650050257774</v>
      </c>
      <c r="Q21" s="1">
        <v>6.5934590758064395</v>
      </c>
      <c r="R21" s="1">
        <v>6.7448748779046497</v>
      </c>
      <c r="S21" s="1">
        <v>6.8771791263304847</v>
      </c>
      <c r="T21" s="1">
        <v>7</v>
      </c>
      <c r="U21" s="1">
        <v>8</v>
      </c>
      <c r="AC21" s="7"/>
    </row>
    <row r="22" spans="4:38" x14ac:dyDescent="0.3">
      <c r="E22" s="1">
        <f>E23+0.2</f>
        <v>1.2</v>
      </c>
      <c r="F22" s="1">
        <v>2</v>
      </c>
      <c r="G22" s="1">
        <v>2.0354233851684569</v>
      </c>
      <c r="H22" s="1">
        <v>2.0890514182379216</v>
      </c>
      <c r="I22" s="1">
        <v>2.1941476294904563</v>
      </c>
      <c r="J22" s="1">
        <v>2.4357490104833204</v>
      </c>
      <c r="K22" s="1">
        <v>3.0746770854293453</v>
      </c>
      <c r="L22" s="1">
        <v>3.6922986798582484</v>
      </c>
      <c r="M22" s="1">
        <v>4.2174405649315645</v>
      </c>
      <c r="N22" s="1">
        <v>4.6482314329181333</v>
      </c>
      <c r="O22" s="1">
        <v>4.9963794180606502</v>
      </c>
      <c r="P22" s="1">
        <v>5.2761855245272953</v>
      </c>
      <c r="Q22" s="1">
        <v>5.5023948869449111</v>
      </c>
      <c r="R22" s="1">
        <v>5.6894233760955251</v>
      </c>
      <c r="S22" s="1">
        <v>5.8509701565635099</v>
      </c>
      <c r="T22" s="1">
        <v>6</v>
      </c>
      <c r="U22" s="1">
        <v>7</v>
      </c>
      <c r="W22" s="1">
        <v>2.5</v>
      </c>
      <c r="X22" s="9">
        <v>1</v>
      </c>
      <c r="Y22" s="9">
        <v>2</v>
      </c>
      <c r="Z22" s="9">
        <v>3</v>
      </c>
      <c r="AA22" s="9">
        <v>4</v>
      </c>
      <c r="AB22" s="9">
        <v>5</v>
      </c>
      <c r="AC22" s="9">
        <v>6</v>
      </c>
      <c r="AD22" s="9">
        <v>7</v>
      </c>
      <c r="AE22" s="9">
        <v>8</v>
      </c>
      <c r="AF22" s="9">
        <v>9</v>
      </c>
      <c r="AG22" s="9">
        <v>10</v>
      </c>
      <c r="AH22" s="9">
        <v>11</v>
      </c>
      <c r="AI22" s="9">
        <v>12</v>
      </c>
      <c r="AJ22" s="9">
        <v>13</v>
      </c>
      <c r="AK22" s="9">
        <v>14</v>
      </c>
      <c r="AL22" s="9">
        <v>15</v>
      </c>
    </row>
    <row r="23" spans="4:38" x14ac:dyDescent="0.3">
      <c r="E23" s="1">
        <v>1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1">
        <v>1.3274232676214153</v>
      </c>
      <c r="L23" s="1">
        <v>2.2350159846750302</v>
      </c>
      <c r="M23" s="1">
        <v>2.9186507540077176</v>
      </c>
      <c r="N23" s="1">
        <v>3.4503975209987066</v>
      </c>
      <c r="O23" s="1">
        <v>3.8666858473146233</v>
      </c>
      <c r="P23" s="1">
        <v>4.1928027864403639</v>
      </c>
      <c r="Q23" s="1">
        <v>4.4505115626522329</v>
      </c>
      <c r="R23" s="1">
        <v>4.6594535819246721</v>
      </c>
      <c r="S23" s="1">
        <v>4.8372781204336484</v>
      </c>
      <c r="T23" s="1">
        <v>5</v>
      </c>
      <c r="U23" s="1">
        <v>6</v>
      </c>
      <c r="X23" s="1">
        <f>$W22</f>
        <v>2.5</v>
      </c>
      <c r="Y23" s="1">
        <f>$W22</f>
        <v>2.5</v>
      </c>
      <c r="Z23" s="1">
        <f t="shared" ref="Z23:AL23" si="29">$W22</f>
        <v>2.5</v>
      </c>
      <c r="AA23" s="1">
        <f t="shared" si="29"/>
        <v>2.5</v>
      </c>
      <c r="AB23" s="1">
        <f t="shared" si="29"/>
        <v>2.5</v>
      </c>
      <c r="AC23" s="1">
        <f t="shared" si="29"/>
        <v>2.5</v>
      </c>
      <c r="AD23" s="1">
        <f t="shared" si="29"/>
        <v>2.5</v>
      </c>
      <c r="AE23" s="1">
        <f t="shared" si="29"/>
        <v>2.5</v>
      </c>
      <c r="AF23" s="1">
        <f t="shared" si="29"/>
        <v>2.5</v>
      </c>
      <c r="AG23" s="1">
        <f t="shared" si="29"/>
        <v>2.5</v>
      </c>
      <c r="AH23" s="1">
        <f t="shared" si="29"/>
        <v>2.5</v>
      </c>
      <c r="AI23" s="1">
        <f t="shared" si="29"/>
        <v>2.5</v>
      </c>
      <c r="AJ23" s="1">
        <f t="shared" si="29"/>
        <v>2.5</v>
      </c>
      <c r="AK23" s="1">
        <f t="shared" si="29"/>
        <v>2.5</v>
      </c>
      <c r="AL23" s="1">
        <f t="shared" si="29"/>
        <v>2.5</v>
      </c>
    </row>
    <row r="24" spans="4:38" x14ac:dyDescent="0.3">
      <c r="E24" s="1">
        <f>E23-0.2</f>
        <v>0.8</v>
      </c>
      <c r="K24" s="2">
        <v>0</v>
      </c>
      <c r="L24" s="1">
        <v>1.0016912323389811</v>
      </c>
      <c r="M24" s="1">
        <v>1.7717489442388212</v>
      </c>
      <c r="N24" s="1">
        <v>2.3680220406021508</v>
      </c>
      <c r="O24" s="1">
        <v>2.8271636621034149</v>
      </c>
      <c r="P24" s="1">
        <v>3.1778282012116881</v>
      </c>
      <c r="Q24" s="1">
        <v>3.4473949938621606</v>
      </c>
      <c r="R24" s="1">
        <v>3.6606012619856401</v>
      </c>
      <c r="S24" s="1">
        <v>3.8386887426799112</v>
      </c>
      <c r="T24" s="1">
        <v>4</v>
      </c>
      <c r="U24" s="1">
        <v>5</v>
      </c>
      <c r="W24" s="5" t="s">
        <v>2</v>
      </c>
      <c r="X24" s="1">
        <f>F16</f>
        <v>0</v>
      </c>
      <c r="Y24" s="1">
        <f t="shared" ref="Y24:AL24" si="30">G16</f>
        <v>0.2</v>
      </c>
      <c r="Z24" s="1">
        <f t="shared" si="30"/>
        <v>0.4</v>
      </c>
      <c r="AA24" s="1">
        <f t="shared" si="30"/>
        <v>0.60000000000000009</v>
      </c>
      <c r="AB24" s="1">
        <f t="shared" si="30"/>
        <v>0.8</v>
      </c>
      <c r="AC24" s="1">
        <f t="shared" si="30"/>
        <v>1</v>
      </c>
      <c r="AD24" s="1">
        <f t="shared" si="30"/>
        <v>1.2</v>
      </c>
      <c r="AE24" s="1">
        <f t="shared" si="30"/>
        <v>1.4</v>
      </c>
      <c r="AF24" s="1">
        <f t="shared" si="30"/>
        <v>1.5999999999999999</v>
      </c>
      <c r="AG24" s="1">
        <f t="shared" si="30"/>
        <v>1.7999999999999998</v>
      </c>
      <c r="AH24" s="1">
        <f t="shared" si="30"/>
        <v>1.9999999999999998</v>
      </c>
      <c r="AI24" s="1">
        <f t="shared" si="30"/>
        <v>2.1999999999999997</v>
      </c>
      <c r="AJ24" s="1">
        <f t="shared" si="30"/>
        <v>2.4</v>
      </c>
      <c r="AK24" s="1">
        <f t="shared" si="30"/>
        <v>2.6</v>
      </c>
      <c r="AL24" s="1">
        <f t="shared" si="30"/>
        <v>2.8000000000000003</v>
      </c>
    </row>
    <row r="25" spans="4:38" x14ac:dyDescent="0.3">
      <c r="E25" s="1">
        <f t="shared" ref="E25:E28" si="31">E24-0.2</f>
        <v>0.60000000000000009</v>
      </c>
      <c r="L25" s="2">
        <v>0</v>
      </c>
      <c r="M25" s="1">
        <v>0.79863174463268449</v>
      </c>
      <c r="N25" s="1">
        <v>1.4227780338380149</v>
      </c>
      <c r="O25" s="1">
        <v>1.8961185504551754</v>
      </c>
      <c r="P25" s="1">
        <v>2.2439513609722281</v>
      </c>
      <c r="Q25" s="1">
        <v>2.5006389415779902</v>
      </c>
      <c r="R25" s="1">
        <v>2.6968677284974207</v>
      </c>
      <c r="S25" s="1">
        <v>2.85687558509448</v>
      </c>
      <c r="T25" s="1">
        <v>3</v>
      </c>
      <c r="U25" s="1">
        <v>4</v>
      </c>
      <c r="W25" s="5" t="s">
        <v>3</v>
      </c>
      <c r="X25" s="1">
        <f>$E$9+($E$8-$E$9)/((F8-F9)/($W$22-F9))</f>
        <v>1.25</v>
      </c>
      <c r="Y25" s="1">
        <f t="shared" ref="Y25:AC25" si="32">$E$9+($E$8-$E$9)/((G8-G9)/($W$22-G9))</f>
        <v>1.2460611044688141</v>
      </c>
      <c r="Z25" s="1">
        <f t="shared" si="32"/>
        <v>1.2403368631801481</v>
      </c>
      <c r="AA25" s="1">
        <f t="shared" si="32"/>
        <v>1.2297284272607909</v>
      </c>
      <c r="AB25" s="1">
        <f t="shared" si="32"/>
        <v>1.2063039919759728</v>
      </c>
      <c r="AC25" s="1">
        <f>$E$10+($E$9-$E$10)/((K9-K10)/($W$22-K10))</f>
        <v>1.1342193928694575</v>
      </c>
      <c r="AD25" s="1">
        <f>$E$10+($E$9-$E$10)/((L9-L10)/($W$22-L10))</f>
        <v>1.0363668651584075</v>
      </c>
      <c r="AE25" s="1">
        <f>$E$11+($E$10-$E$11)/((M10-M11)/($W$22-M11))</f>
        <v>0.92699449076407037</v>
      </c>
      <c r="AF25" s="1">
        <f>$E$11+($E$10-$E$11)/((N10-N11)/($W$22-N11))</f>
        <v>0.82438672389334133</v>
      </c>
      <c r="AG25" s="1">
        <f>$E$12+($E$11-$E$12)/((O11-O12)/($W$22-O12))</f>
        <v>0.72972120115710681</v>
      </c>
      <c r="AH25" s="1">
        <f>$E$12+($E$11-$E$12)/((P11-P12)/($W$22-P12))</f>
        <v>0.65483563343484341</v>
      </c>
      <c r="AI25" s="1">
        <f>$E$13+($E$12-$E$13)/((Q12-Q13)/($W$22-Q13))</f>
        <v>0.59985581782966979</v>
      </c>
      <c r="AJ25" s="1">
        <f>$E$13+($E$12-$E$13)/((R12-R13)/($W$22-R13))</f>
        <v>0.55754931506443106</v>
      </c>
      <c r="AK25" s="1">
        <f t="shared" ref="AK25:AL25" si="33">$E$13+($E$12-$E$13)/((S12-S13)/($W$22-S13))</f>
        <v>0.52603076082826883</v>
      </c>
      <c r="AL25" s="1">
        <f>$E$13+($E$12-$E$13)/((T12-T13)/($W$22-T13))</f>
        <v>0.50000000000000011</v>
      </c>
    </row>
    <row r="26" spans="4:38" x14ac:dyDescent="0.3">
      <c r="E26" s="1">
        <f t="shared" si="31"/>
        <v>0.40000000000000008</v>
      </c>
      <c r="M26" s="2">
        <v>0</v>
      </c>
      <c r="N26" s="1">
        <v>0.6283397945140734</v>
      </c>
      <c r="O26" s="1">
        <v>1.0905811438178366</v>
      </c>
      <c r="P26" s="1">
        <v>1.4012197435080458</v>
      </c>
      <c r="Q26" s="1">
        <v>1.6143416819197765</v>
      </c>
      <c r="R26" s="1">
        <v>1.7693551204103688</v>
      </c>
      <c r="S26" s="1">
        <v>1.8919458687693931</v>
      </c>
      <c r="T26" s="1">
        <v>2</v>
      </c>
      <c r="U26" s="1">
        <v>3</v>
      </c>
    </row>
    <row r="27" spans="4:38" x14ac:dyDescent="0.3">
      <c r="E27" s="1">
        <f t="shared" si="31"/>
        <v>0.20000000000000007</v>
      </c>
      <c r="N27" s="2">
        <v>0</v>
      </c>
      <c r="O27" s="1">
        <v>0.43664648265953249</v>
      </c>
      <c r="P27" s="1">
        <v>0.65600478654188943</v>
      </c>
      <c r="Q27" s="1">
        <v>0.78615291768092455</v>
      </c>
      <c r="R27" s="1">
        <v>0.87426520189142942</v>
      </c>
      <c r="S27" s="1">
        <v>0.94155276770444374</v>
      </c>
      <c r="T27" s="1">
        <v>1</v>
      </c>
      <c r="U27" s="1">
        <v>2</v>
      </c>
      <c r="W27" s="1">
        <v>5</v>
      </c>
      <c r="X27" s="3">
        <v>1</v>
      </c>
      <c r="Y27" s="3">
        <v>2</v>
      </c>
      <c r="Z27" s="3">
        <v>3</v>
      </c>
      <c r="AA27" s="3">
        <v>4</v>
      </c>
      <c r="AB27" s="3">
        <v>5</v>
      </c>
      <c r="AC27" s="3">
        <v>6</v>
      </c>
      <c r="AD27" s="3">
        <v>7</v>
      </c>
      <c r="AE27" s="3">
        <v>8</v>
      </c>
      <c r="AF27" s="3">
        <v>9</v>
      </c>
      <c r="AG27" s="3">
        <v>10</v>
      </c>
      <c r="AH27" s="3">
        <v>11</v>
      </c>
      <c r="AI27" s="3">
        <v>12</v>
      </c>
      <c r="AJ27" s="3">
        <v>13</v>
      </c>
      <c r="AK27" s="3">
        <v>14</v>
      </c>
      <c r="AL27" s="3">
        <v>15</v>
      </c>
    </row>
    <row r="28" spans="4:38" x14ac:dyDescent="0.3">
      <c r="E28" s="1">
        <f t="shared" si="31"/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1">
        <v>1</v>
      </c>
      <c r="X28" s="1">
        <f>$W27</f>
        <v>5</v>
      </c>
      <c r="Y28" s="1">
        <f t="shared" ref="Y28:AL28" si="34">$W27</f>
        <v>5</v>
      </c>
      <c r="Z28" s="1">
        <f t="shared" si="34"/>
        <v>5</v>
      </c>
      <c r="AA28" s="1">
        <f t="shared" si="34"/>
        <v>5</v>
      </c>
      <c r="AB28" s="1">
        <f t="shared" si="34"/>
        <v>5</v>
      </c>
      <c r="AC28" s="1">
        <f t="shared" si="34"/>
        <v>5</v>
      </c>
      <c r="AD28" s="1">
        <f t="shared" si="34"/>
        <v>5</v>
      </c>
      <c r="AE28" s="1">
        <f t="shared" si="34"/>
        <v>5</v>
      </c>
      <c r="AF28" s="1">
        <f t="shared" si="34"/>
        <v>5</v>
      </c>
      <c r="AG28" s="1">
        <f t="shared" si="34"/>
        <v>5</v>
      </c>
      <c r="AH28" s="1">
        <f t="shared" si="34"/>
        <v>5</v>
      </c>
      <c r="AI28" s="1">
        <f t="shared" si="34"/>
        <v>5</v>
      </c>
      <c r="AJ28" s="1">
        <f t="shared" si="34"/>
        <v>5</v>
      </c>
      <c r="AK28" s="1">
        <f t="shared" si="34"/>
        <v>5</v>
      </c>
      <c r="AL28" s="1">
        <f t="shared" si="34"/>
        <v>5</v>
      </c>
    </row>
    <row r="29" spans="4:38" x14ac:dyDescent="0.3">
      <c r="W29" s="5" t="s">
        <v>2</v>
      </c>
      <c r="X29" s="1">
        <f>F16</f>
        <v>0</v>
      </c>
      <c r="Y29" s="1">
        <f t="shared" ref="Y29:AL29" si="35">G16</f>
        <v>0.2</v>
      </c>
      <c r="Z29" s="1">
        <f t="shared" si="35"/>
        <v>0.4</v>
      </c>
      <c r="AA29" s="1">
        <f t="shared" si="35"/>
        <v>0.60000000000000009</v>
      </c>
      <c r="AB29" s="1">
        <f t="shared" si="35"/>
        <v>0.8</v>
      </c>
      <c r="AC29" s="1">
        <f t="shared" si="35"/>
        <v>1</v>
      </c>
      <c r="AD29" s="1">
        <f t="shared" si="35"/>
        <v>1.2</v>
      </c>
      <c r="AE29" s="1">
        <f t="shared" si="35"/>
        <v>1.4</v>
      </c>
      <c r="AF29" s="1">
        <f t="shared" si="35"/>
        <v>1.5999999999999999</v>
      </c>
      <c r="AG29" s="1">
        <f t="shared" si="35"/>
        <v>1.7999999999999998</v>
      </c>
      <c r="AH29" s="1">
        <f t="shared" si="35"/>
        <v>1.9999999999999998</v>
      </c>
      <c r="AI29" s="1">
        <f t="shared" si="35"/>
        <v>2.1999999999999997</v>
      </c>
      <c r="AJ29" s="1">
        <f t="shared" si="35"/>
        <v>2.4</v>
      </c>
      <c r="AK29" s="1">
        <f t="shared" si="35"/>
        <v>2.6</v>
      </c>
      <c r="AL29" s="1">
        <f t="shared" si="35"/>
        <v>2.8000000000000003</v>
      </c>
    </row>
    <row r="30" spans="4:38" x14ac:dyDescent="0.3">
      <c r="W30" s="5" t="s">
        <v>3</v>
      </c>
      <c r="X30" s="1">
        <f>$E$8+($E$7-$E$8)/((F7-F8)/($W$27-F8))</f>
        <v>1.5</v>
      </c>
      <c r="Y30" s="1">
        <f t="shared" ref="Y30:AB30" si="36">$E$8+($E$7-$E$8)/((G7-G8)/($W$27-G8))</f>
        <v>1.4949319017749279</v>
      </c>
      <c r="Z30" s="1">
        <f t="shared" si="36"/>
        <v>1.4879335880888134</v>
      </c>
      <c r="AA30" s="1">
        <f t="shared" si="36"/>
        <v>1.4763317239157812</v>
      </c>
      <c r="AB30" s="1">
        <f t="shared" si="36"/>
        <v>1.4555921394190903</v>
      </c>
      <c r="AC30" s="1">
        <f>$E$8+($E$7-$E$8)/((K7-K8)/($W$27-K8))</f>
        <v>1.4180310998576353</v>
      </c>
      <c r="AD30" s="1">
        <f>$E$9+($E$8-$E$9)/((L8-L9)/($W$27-L9))</f>
        <v>1.368761523505178</v>
      </c>
      <c r="AE30" s="1">
        <f t="shared" ref="AE30:AF30" si="37">$E$9+($E$8-$E$9)/((M8-M9)/($W$27-M9))</f>
        <v>1.3123446280452913</v>
      </c>
      <c r="AF30" s="1">
        <f>$E$9+($E$8-$E$9)/((N8-N9)/($W$27-N9))</f>
        <v>1.2549433726311712</v>
      </c>
      <c r="AG30" s="1">
        <f>$E$9+($E$8-$E$9)/((O8-O9)/($W$27-O9))</f>
        <v>1.2006044202697459</v>
      </c>
      <c r="AH30" s="1">
        <f>$E$10+($E$9-$E$10)/((P9-P10)/($W$27-P10))</f>
        <v>1.149014228513717</v>
      </c>
      <c r="AI30" s="1">
        <f t="shared" ref="AI30:AL30" si="38">$E$10+($E$9-$E$10)/((Q9-Q10)/($W$27-Q10))</f>
        <v>1.1044770700257598</v>
      </c>
      <c r="AJ30" s="1">
        <f t="shared" si="38"/>
        <v>1.066127457558852</v>
      </c>
      <c r="AK30" s="1">
        <f t="shared" si="38"/>
        <v>1.0321047959383627</v>
      </c>
      <c r="AL30" s="1">
        <f>$E$10</f>
        <v>1</v>
      </c>
    </row>
    <row r="31" spans="4:38" x14ac:dyDescent="0.3">
      <c r="D31" s="1" t="s">
        <v>0</v>
      </c>
      <c r="E31" s="1">
        <f t="shared" ref="E31:E34" si="39">E32+0.2</f>
        <v>1.9999999999999998</v>
      </c>
      <c r="F31" s="2">
        <f>(F5-F6)/$B$2</f>
        <v>10</v>
      </c>
      <c r="G31" s="2">
        <f>(G5-G6)/$B$2</f>
        <v>9.8582767282506367</v>
      </c>
      <c r="H31" s="2">
        <f>(H5-H6)/$B$2</f>
        <v>9.6756591390812119</v>
      </c>
      <c r="I31" s="2">
        <f>(I5-I6)/$B$2</f>
        <v>9.4096348447615341</v>
      </c>
      <c r="J31" s="2">
        <f>(J5-J6)/$B$2</f>
        <v>9.0239139295754267</v>
      </c>
      <c r="K31" s="2">
        <f>(K5-K6)/$B$2</f>
        <v>8.5155650015292217</v>
      </c>
      <c r="L31" s="2">
        <f>(L5-L6)/$B$2</f>
        <v>7.9485461965260207</v>
      </c>
      <c r="M31" s="2">
        <f>(M5-M6)/$B$2</f>
        <v>7.389254200846862</v>
      </c>
      <c r="N31" s="2">
        <f>(N5-N6)/$B$2</f>
        <v>6.8790489329331894</v>
      </c>
      <c r="O31" s="2">
        <f>(O5-O6)/$B$2</f>
        <v>6.4349676361105956</v>
      </c>
      <c r="P31" s="2">
        <f>(P5-P6)/$B$2</f>
        <v>6.0578555098811648</v>
      </c>
      <c r="Q31" s="2">
        <f>(Q5-Q6)/$B$2</f>
        <v>5.7394571735471622</v>
      </c>
      <c r="R31" s="2">
        <f>(R5-R6)/$B$2</f>
        <v>5.466980852010197</v>
      </c>
      <c r="S31" s="2">
        <f>(S5-S6)/$B$2</f>
        <v>5.2256558743506698</v>
      </c>
      <c r="T31" s="2">
        <f>(T5-T6)/$B$2</f>
        <v>5</v>
      </c>
      <c r="U31" s="1">
        <v>11</v>
      </c>
    </row>
    <row r="32" spans="4:38" x14ac:dyDescent="0.3">
      <c r="E32" s="1">
        <f t="shared" si="39"/>
        <v>1.7999999999999998</v>
      </c>
      <c r="F32" s="1">
        <f>(F5-F7)/$B$2/2</f>
        <v>10</v>
      </c>
      <c r="G32" s="1">
        <f>(G5-G7)/$B$2/2</f>
        <v>9.878723887644691</v>
      </c>
      <c r="H32" s="1">
        <f>(H5-H7)/$B$2/2</f>
        <v>9.7173624918938195</v>
      </c>
      <c r="I32" s="1">
        <f>(I5-I7)/$B$2/2</f>
        <v>9.4694831575935812</v>
      </c>
      <c r="J32" s="1">
        <f>(J5-J7)/$B$2/2</f>
        <v>9.0852279365871631</v>
      </c>
      <c r="K32" s="1">
        <f>(K5-K7)/$B$2/2</f>
        <v>8.5448999449518226</v>
      </c>
      <c r="L32" s="1">
        <f>(L5-L7)/$B$2/2</f>
        <v>7.9446827929051711</v>
      </c>
      <c r="M32" s="1">
        <f>(M5-M7)/$B$2/2</f>
        <v>7.3647108446296272</v>
      </c>
      <c r="N32" s="1">
        <f>(N5-N7)/$B$2/2</f>
        <v>6.8459869487809977</v>
      </c>
      <c r="O32" s="1">
        <f>(O5-O7)/$B$2/2</f>
        <v>6.4014830596310679</v>
      </c>
      <c r="P32" s="1">
        <f>(P5-P7)/$B$2/2</f>
        <v>6.0284986162954253</v>
      </c>
      <c r="Q32" s="1">
        <f>(Q5-Q7)/$B$2/2</f>
        <v>5.7164961732669672</v>
      </c>
      <c r="R32" s="1">
        <f>(R5-R7)/$B$2/2</f>
        <v>5.4514051809176944</v>
      </c>
      <c r="S32" s="1">
        <f>(S5-S7)/$B$2/2</f>
        <v>5.2178213254319168</v>
      </c>
      <c r="T32" s="1">
        <f>(T5-T7)/$B$2/2</f>
        <v>5</v>
      </c>
      <c r="U32" s="1">
        <v>10</v>
      </c>
      <c r="W32" s="1">
        <v>7.5</v>
      </c>
      <c r="X32" s="3">
        <v>1</v>
      </c>
      <c r="Y32" s="3">
        <v>2</v>
      </c>
      <c r="Z32" s="3">
        <v>3</v>
      </c>
      <c r="AA32" s="3">
        <v>4</v>
      </c>
      <c r="AB32" s="3">
        <v>5</v>
      </c>
      <c r="AC32" s="3">
        <v>6</v>
      </c>
      <c r="AD32" s="3">
        <v>7</v>
      </c>
      <c r="AE32" s="3">
        <v>8</v>
      </c>
      <c r="AF32" s="3">
        <v>9</v>
      </c>
      <c r="AG32" s="3">
        <v>10</v>
      </c>
      <c r="AH32" s="3">
        <v>11</v>
      </c>
      <c r="AI32" s="3">
        <v>12</v>
      </c>
      <c r="AJ32" s="3">
        <v>13</v>
      </c>
      <c r="AK32" s="3">
        <v>14</v>
      </c>
      <c r="AL32" s="3">
        <v>15</v>
      </c>
    </row>
    <row r="33" spans="4:38" x14ac:dyDescent="0.3">
      <c r="E33" s="1">
        <f t="shared" si="39"/>
        <v>1.5999999999999999</v>
      </c>
      <c r="F33" s="1">
        <f>(F6-F8)/$B$2/2</f>
        <v>10</v>
      </c>
      <c r="G33" s="1">
        <f>(G6-G8)/$B$2/2</f>
        <v>9.9392563306184591</v>
      </c>
      <c r="H33" s="1">
        <f>(H6-H8)/$B$2/2</f>
        <v>9.8455837856777961</v>
      </c>
      <c r="I33" s="1">
        <f>(I6-I8)/$B$2/2</f>
        <v>9.6657073577912964</v>
      </c>
      <c r="J33" s="1">
        <f>(J6-J8)/$B$2/2</f>
        <v>9.3026147203685756</v>
      </c>
      <c r="K33" s="1">
        <f>(K6-K8)/$B$2/2</f>
        <v>8.6341240502104135</v>
      </c>
      <c r="L33" s="1">
        <f>(L6-L8)/$B$2/2</f>
        <v>7.92057419703879</v>
      </c>
      <c r="M33" s="1">
        <f>(M6-M8)/$B$2/2</f>
        <v>7.2789194382759277</v>
      </c>
      <c r="N33" s="1">
        <f>(N6-N8)/$B$2/2</f>
        <v>6.7387049737464562</v>
      </c>
      <c r="O33" s="1">
        <f>(O6-O8)/$B$2/2</f>
        <v>6.2964790400167203</v>
      </c>
      <c r="P33" s="1">
        <f>(P6-P8)/$B$2/2</f>
        <v>5.9381597380384932</v>
      </c>
      <c r="Q33" s="1">
        <f>(Q6-Q8)/$B$2/2</f>
        <v>5.6466237244870987</v>
      </c>
      <c r="R33" s="1">
        <f>(R6-R8)/$B$2/2</f>
        <v>5.4043223827237608</v>
      </c>
      <c r="S33" s="1">
        <f>(S6-S8)/$B$2/2</f>
        <v>5.1942242472993412</v>
      </c>
      <c r="T33" s="1">
        <f>(T6-T8)/$B$2/2</f>
        <v>5</v>
      </c>
      <c r="U33" s="1">
        <v>9</v>
      </c>
      <c r="X33" s="1">
        <f>$W32</f>
        <v>7.5</v>
      </c>
      <c r="Y33" s="1">
        <f t="shared" ref="Y33" si="40">$W32</f>
        <v>7.5</v>
      </c>
      <c r="Z33" s="1">
        <f t="shared" ref="Z33" si="41">$W32</f>
        <v>7.5</v>
      </c>
      <c r="AA33" s="1">
        <f t="shared" ref="AA33" si="42">$W32</f>
        <v>7.5</v>
      </c>
      <c r="AB33" s="1">
        <f t="shared" ref="AB33" si="43">$W32</f>
        <v>7.5</v>
      </c>
      <c r="AC33" s="1">
        <f t="shared" ref="AC33" si="44">$W32</f>
        <v>7.5</v>
      </c>
      <c r="AD33" s="1">
        <f t="shared" ref="AD33" si="45">$W32</f>
        <v>7.5</v>
      </c>
      <c r="AE33" s="1">
        <f t="shared" ref="AE33" si="46">$W32</f>
        <v>7.5</v>
      </c>
      <c r="AF33" s="1">
        <f t="shared" ref="AF33" si="47">$W32</f>
        <v>7.5</v>
      </c>
      <c r="AG33" s="1">
        <f t="shared" ref="AG33" si="48">$W32</f>
        <v>7.5</v>
      </c>
      <c r="AH33" s="1">
        <f t="shared" ref="AH33" si="49">$W32</f>
        <v>7.5</v>
      </c>
      <c r="AI33" s="1">
        <f t="shared" ref="AI33" si="50">$W32</f>
        <v>7.5</v>
      </c>
      <c r="AJ33" s="1">
        <f t="shared" ref="AJ33" si="51">$W32</f>
        <v>7.5</v>
      </c>
      <c r="AK33" s="1">
        <f t="shared" ref="AK33" si="52">$W32</f>
        <v>7.5</v>
      </c>
      <c r="AL33" s="1">
        <f t="shared" ref="AL33" si="53">$W32</f>
        <v>7.5</v>
      </c>
    </row>
    <row r="34" spans="4:38" x14ac:dyDescent="0.3">
      <c r="E34" s="1">
        <f t="shared" si="39"/>
        <v>1.4</v>
      </c>
      <c r="F34" s="1">
        <f>(F7-F9)/$B$2/2</f>
        <v>10</v>
      </c>
      <c r="G34" s="1">
        <f>(G7-G9)/$B$2/2</f>
        <v>10.032717649630012</v>
      </c>
      <c r="H34" s="1">
        <f>(H7-H9)/$B$2/2</f>
        <v>10.060008962581938</v>
      </c>
      <c r="I34" s="1">
        <f>(I7-I9)/$B$2/2</f>
        <v>10.045147769452006</v>
      </c>
      <c r="J34" s="1">
        <f>(J7-J9)/$B$2/2</f>
        <v>9.8253995374230598</v>
      </c>
      <c r="K34" s="1">
        <f>(K7-K9)/$B$2/2</f>
        <v>8.7684073439527488</v>
      </c>
      <c r="L34" s="1">
        <f>(L7-L9)/$B$2/2</f>
        <v>7.824570508070499</v>
      </c>
      <c r="M34" s="1">
        <f>(M7-M9)/$B$2/2</f>
        <v>7.0916877481100871</v>
      </c>
      <c r="N34" s="1">
        <f>(N7-N9)/$B$2/2</f>
        <v>6.5334344699046927</v>
      </c>
      <c r="O34" s="1">
        <f>(O7-O9)/$B$2/2</f>
        <v>6.1075684016763327</v>
      </c>
      <c r="P34" s="1">
        <f>(P7-P9)/$B$2/2</f>
        <v>5.7810375734097592</v>
      </c>
      <c r="Q34" s="1">
        <f>(Q7-Q9)/$B$2/2</f>
        <v>5.5275166148070998</v>
      </c>
      <c r="R34" s="1">
        <f>(R7-R9)/$B$2/2</f>
        <v>5.3250363794962148</v>
      </c>
      <c r="S34" s="1">
        <f>(S7-S9)/$B$2/2</f>
        <v>5.1547532852807949</v>
      </c>
      <c r="T34" s="1">
        <f>(T7-T9)/$B$2/2</f>
        <v>5</v>
      </c>
      <c r="U34" s="1">
        <v>8</v>
      </c>
      <c r="W34" s="5" t="s">
        <v>2</v>
      </c>
      <c r="X34" s="1">
        <f>F16</f>
        <v>0</v>
      </c>
      <c r="Y34" s="1">
        <f t="shared" ref="Y34:AL34" si="54">G16</f>
        <v>0.2</v>
      </c>
      <c r="Z34" s="1">
        <f t="shared" si="54"/>
        <v>0.4</v>
      </c>
      <c r="AA34" s="1">
        <f t="shared" si="54"/>
        <v>0.60000000000000009</v>
      </c>
      <c r="AB34" s="1">
        <f t="shared" si="54"/>
        <v>0.8</v>
      </c>
      <c r="AC34" s="1">
        <f t="shared" si="54"/>
        <v>1</v>
      </c>
      <c r="AD34" s="1">
        <f t="shared" si="54"/>
        <v>1.2</v>
      </c>
      <c r="AE34" s="1">
        <f t="shared" si="54"/>
        <v>1.4</v>
      </c>
      <c r="AF34" s="1">
        <f t="shared" si="54"/>
        <v>1.5999999999999999</v>
      </c>
      <c r="AG34" s="1">
        <f t="shared" si="54"/>
        <v>1.7999999999999998</v>
      </c>
      <c r="AH34" s="1">
        <f t="shared" si="54"/>
        <v>1.9999999999999998</v>
      </c>
      <c r="AI34" s="1">
        <f t="shared" si="54"/>
        <v>2.1999999999999997</v>
      </c>
      <c r="AJ34" s="1">
        <f t="shared" si="54"/>
        <v>2.4</v>
      </c>
      <c r="AK34" s="1">
        <f t="shared" si="54"/>
        <v>2.6</v>
      </c>
      <c r="AL34" s="1">
        <f t="shared" si="54"/>
        <v>2.8000000000000003</v>
      </c>
    </row>
    <row r="35" spans="4:38" x14ac:dyDescent="0.3">
      <c r="E35" s="1">
        <f>E36+0.2</f>
        <v>1.2</v>
      </c>
      <c r="F35" s="1">
        <f>(F9-F10)/$B$2</f>
        <v>10</v>
      </c>
      <c r="G35" s="1">
        <f>(G8-G10)/$B$2/2</f>
        <v>10.131605305256221</v>
      </c>
      <c r="H35" s="1">
        <f>(H8-H10)/$B$2/2</f>
        <v>10.316586644781598</v>
      </c>
      <c r="I35" s="1">
        <f>(I8-I10)/$B$2/2</f>
        <v>10.629475219827935</v>
      </c>
      <c r="J35" s="1">
        <f>(J8-J10)/$B$2/2</f>
        <v>11.18542831484371</v>
      </c>
      <c r="K35" s="1">
        <f>(K8-K10)/$B$2/2</f>
        <v>8.7895352802097406</v>
      </c>
      <c r="L35" s="1">
        <f>(L8-L10)/$B$2/2</f>
        <v>7.5176127460567228</v>
      </c>
      <c r="M35" s="1">
        <f>(M8-M10)/$B$2/2</f>
        <v>6.7298265770230641</v>
      </c>
      <c r="N35" s="1">
        <f>(N8-N10)/$B$2/2</f>
        <v>6.1957767630103087</v>
      </c>
      <c r="O35" s="1">
        <f>(O8-O10)/$B$2/2</f>
        <v>5.8193225246760223</v>
      </c>
      <c r="P35" s="1">
        <f>(P8-P10)/$B$2/2</f>
        <v>5.5509055472047741</v>
      </c>
      <c r="Q35" s="1">
        <f>(Q8-Q10)/$B$2/2</f>
        <v>5.3573687830067529</v>
      </c>
      <c r="R35" s="1">
        <f>(R8-R10)/$B$2/2</f>
        <v>5.2135532405417369</v>
      </c>
      <c r="S35" s="1">
        <f>(S8-S10)/$B$2/2</f>
        <v>5.0997525147952656</v>
      </c>
      <c r="T35" s="1">
        <f>(T8-T10)/$B$2/2</f>
        <v>5</v>
      </c>
      <c r="U35" s="1">
        <v>7</v>
      </c>
      <c r="W35" s="5" t="s">
        <v>3</v>
      </c>
      <c r="X35" s="1">
        <f>$E$7+($E$6-$E$7)/((F6-F7)/($W$32-F7))</f>
        <v>1.7499999999999998</v>
      </c>
      <c r="Y35" s="1">
        <f t="shared" ref="Y35:AH35" si="55">$E$7+($E$6-$E$7)/((G6-G7)/($W$32-G7))</f>
        <v>1.7466273840668787</v>
      </c>
      <c r="Z35" s="1">
        <f t="shared" si="55"/>
        <v>1.7421186227070946</v>
      </c>
      <c r="AA35" s="1">
        <f t="shared" si="55"/>
        <v>1.735139937889044</v>
      </c>
      <c r="AB35" s="1">
        <f t="shared" si="55"/>
        <v>1.7239912506418389</v>
      </c>
      <c r="AC35" s="1">
        <f t="shared" si="55"/>
        <v>1.7070602788390326</v>
      </c>
      <c r="AD35" s="1">
        <f t="shared" si="55"/>
        <v>1.6853656384726263</v>
      </c>
      <c r="AE35" s="1">
        <f t="shared" si="55"/>
        <v>1.6607457988602778</v>
      </c>
      <c r="AF35" s="1">
        <f t="shared" si="55"/>
        <v>1.6349915463255638</v>
      </c>
      <c r="AG35" s="1">
        <f t="shared" si="55"/>
        <v>1.6095152698312891</v>
      </c>
      <c r="AH35" s="1">
        <f>$E$8+($E$7-$E$8)/((P7-P8)/($W$32-P8))</f>
        <v>1.5849246428813444</v>
      </c>
      <c r="AI35" s="1">
        <f t="shared" ref="AI35:AL35" si="56">$E$8+($E$7-$E$8)/((Q7-Q8)/($W$32-Q8))</f>
        <v>1.5618906257722709</v>
      </c>
      <c r="AJ35" s="1">
        <f t="shared" si="56"/>
        <v>1.5405455217730313</v>
      </c>
      <c r="AK35" s="1">
        <f t="shared" si="56"/>
        <v>1.5202714063936591</v>
      </c>
      <c r="AL35" s="1">
        <f t="shared" si="56"/>
        <v>1.5</v>
      </c>
    </row>
    <row r="36" spans="4:38" x14ac:dyDescent="0.3">
      <c r="E36" s="1">
        <v>1</v>
      </c>
      <c r="F36" s="2">
        <f>(F9-F10)/$B$2</f>
        <v>10</v>
      </c>
      <c r="G36" s="2">
        <f>(G9-G10)/$B$2</f>
        <v>10.177116925450592</v>
      </c>
      <c r="H36" s="2">
        <f>(H9-H10)/$B$2</f>
        <v>10.445257091048482</v>
      </c>
      <c r="I36" s="2">
        <f>(I9-I10)/$B$2</f>
        <v>10.970738145908822</v>
      </c>
      <c r="J36" s="2">
        <f>(J9-J10)/$B$2</f>
        <v>12.178745051979551</v>
      </c>
      <c r="K36" s="1">
        <f>(K9-K11)/$B$2/2</f>
        <v>7.6866927110954286</v>
      </c>
      <c r="L36" s="1">
        <f>(L9-L11)/$B$2/2</f>
        <v>6.7265186184531718</v>
      </c>
      <c r="M36" s="1">
        <f>(M9-M11)/$B$2/2</f>
        <v>6.1142290500218266</v>
      </c>
      <c r="N36" s="1">
        <f>(N9-N11)/$B$2/2</f>
        <v>5.7005234805774601</v>
      </c>
      <c r="O36" s="1">
        <f>(O9-O11)/$B$2/2</f>
        <v>5.4230393889528248</v>
      </c>
      <c r="P36" s="1">
        <f>(P9-P11)/$B$2/2</f>
        <v>5.2458933081834598</v>
      </c>
      <c r="Q36" s="1">
        <f>(Q9-Q11)/$B$2/2</f>
        <v>5.1374997322837146</v>
      </c>
      <c r="R36" s="1">
        <f>(R9-R11)/$B$2/2</f>
        <v>5.0720552852334873</v>
      </c>
      <c r="S36" s="1">
        <f>(S9-S11)/$B$2/2</f>
        <v>5.0307035345911819</v>
      </c>
      <c r="T36" s="1">
        <f>(T9-T11)/$B$2/2</f>
        <v>5</v>
      </c>
      <c r="U36" s="1">
        <v>6</v>
      </c>
    </row>
    <row r="37" spans="4:38" x14ac:dyDescent="0.3">
      <c r="E37" s="1">
        <f>E36-0.2</f>
        <v>0.8</v>
      </c>
      <c r="K37" s="2">
        <f>(K10-K11)/$B$2</f>
        <v>6.6371163376304683</v>
      </c>
      <c r="L37" s="1">
        <f>(L10-L12)/$B$2/2</f>
        <v>5.587539958641476</v>
      </c>
      <c r="M37" s="1">
        <f>(M10-M12)/$B$2/2</f>
        <v>5.3000475229795541</v>
      </c>
      <c r="N37" s="1">
        <f>(N10-N12)/$B$2/2</f>
        <v>5.0690487153990871</v>
      </c>
      <c r="O37" s="1">
        <f>(O10-O12)/$B$2/2</f>
        <v>4.9264182417947753</v>
      </c>
      <c r="P37" s="1">
        <f>(P10-P12)/$B$2/2</f>
        <v>4.8721285618455878</v>
      </c>
      <c r="Q37" s="1">
        <f>(Q10-Q12)/$B$2/2</f>
        <v>4.8746815524503244</v>
      </c>
      <c r="R37" s="1">
        <f>(R10-R12)/$B$2/2</f>
        <v>4.9064646325616028</v>
      </c>
      <c r="S37" s="1">
        <f>(S10-S12)/$B$2/2</f>
        <v>4.9510063382633547</v>
      </c>
      <c r="T37" s="1">
        <f>(T10-T12)/$B$2/2</f>
        <v>5</v>
      </c>
      <c r="U37" s="1">
        <v>5</v>
      </c>
      <c r="W37" s="1">
        <v>9.5</v>
      </c>
      <c r="X37" s="3">
        <v>1</v>
      </c>
      <c r="Y37" s="3">
        <v>2</v>
      </c>
      <c r="Z37" s="3">
        <v>3</v>
      </c>
      <c r="AA37" s="3">
        <v>4</v>
      </c>
      <c r="AB37" s="3">
        <v>5</v>
      </c>
      <c r="AC37" s="3">
        <v>6</v>
      </c>
      <c r="AD37" s="3">
        <v>7</v>
      </c>
      <c r="AE37" s="3">
        <v>8</v>
      </c>
      <c r="AF37" s="3">
        <v>9</v>
      </c>
      <c r="AG37" s="3">
        <v>10</v>
      </c>
      <c r="AH37" s="3">
        <v>11</v>
      </c>
      <c r="AI37" s="3">
        <v>12</v>
      </c>
      <c r="AJ37" s="3">
        <v>13</v>
      </c>
      <c r="AK37" s="3">
        <v>14</v>
      </c>
      <c r="AL37" s="3">
        <v>15</v>
      </c>
    </row>
    <row r="38" spans="4:38" x14ac:dyDescent="0.3">
      <c r="E38" s="1">
        <f t="shared" ref="E38:E41" si="57">E37-0.2</f>
        <v>0.60000000000000009</v>
      </c>
      <c r="L38" s="2">
        <f>(L11-L12)/$B$2</f>
        <v>5.0084561611423135</v>
      </c>
      <c r="M38" s="1">
        <f>(M11-M13)/$B$2/2</f>
        <v>4.4293723572384591</v>
      </c>
      <c r="N38" s="1">
        <f>(N11-N13)/$B$2/2</f>
        <v>4.3492056147019413</v>
      </c>
      <c r="O38" s="1">
        <f>(O11-O13)/$B$2/2</f>
        <v>4.3414562927792568</v>
      </c>
      <c r="P38" s="1">
        <f>(P11-P13)/$B$2/2</f>
        <v>4.4415211438290223</v>
      </c>
      <c r="Q38" s="1">
        <f>(Q11-Q13)/$B$2/2</f>
        <v>4.5826332776563872</v>
      </c>
      <c r="R38" s="1">
        <f>(R11-R13)/$B$2/2</f>
        <v>4.7281153536788407</v>
      </c>
      <c r="S38" s="1">
        <f>(S11-S13)/$B$2/2</f>
        <v>4.8668571839402972</v>
      </c>
      <c r="T38" s="1">
        <f>(T11-T13)/$B$2/2</f>
        <v>5</v>
      </c>
      <c r="U38" s="1">
        <v>4</v>
      </c>
      <c r="X38" s="1">
        <f>$W37</f>
        <v>9.5</v>
      </c>
      <c r="Y38" s="1">
        <f t="shared" ref="Y38" si="58">$W37</f>
        <v>9.5</v>
      </c>
      <c r="Z38" s="1">
        <f t="shared" ref="Z38" si="59">$W37</f>
        <v>9.5</v>
      </c>
      <c r="AA38" s="1">
        <f t="shared" ref="AA38" si="60">$W37</f>
        <v>9.5</v>
      </c>
      <c r="AB38" s="1">
        <f t="shared" ref="AB38" si="61">$W37</f>
        <v>9.5</v>
      </c>
      <c r="AC38" s="1">
        <f t="shared" ref="AC38" si="62">$W37</f>
        <v>9.5</v>
      </c>
      <c r="AD38" s="1">
        <f t="shared" ref="AD38" si="63">$W37</f>
        <v>9.5</v>
      </c>
      <c r="AE38" s="1">
        <f t="shared" ref="AE38" si="64">$W37</f>
        <v>9.5</v>
      </c>
      <c r="AF38" s="1">
        <f t="shared" ref="AF38" si="65">$W37</f>
        <v>9.5</v>
      </c>
      <c r="AG38" s="1">
        <f t="shared" ref="AG38" si="66">$W37</f>
        <v>9.5</v>
      </c>
      <c r="AH38" s="1">
        <f t="shared" ref="AH38" si="67">$W37</f>
        <v>9.5</v>
      </c>
      <c r="AI38" s="1">
        <f t="shared" ref="AI38" si="68">$W37</f>
        <v>9.5</v>
      </c>
      <c r="AJ38" s="1">
        <f t="shared" ref="AJ38" si="69">$W37</f>
        <v>9.5</v>
      </c>
      <c r="AK38" s="1">
        <f t="shared" ref="AK38" si="70">$W37</f>
        <v>9.5</v>
      </c>
      <c r="AL38" s="1">
        <f t="shared" ref="AL38" si="71">$W37</f>
        <v>9.5</v>
      </c>
    </row>
    <row r="39" spans="4:38" x14ac:dyDescent="0.3">
      <c r="E39" s="1">
        <f t="shared" si="57"/>
        <v>0.40000000000000008</v>
      </c>
      <c r="M39" s="2">
        <f>(M12-M13)/$B$2</f>
        <v>3.993158722596045</v>
      </c>
      <c r="N39" s="1">
        <f>(N12-N14)/$B$2/2</f>
        <v>3.5569450813775525</v>
      </c>
      <c r="O39" s="1">
        <f>(O12-O14)/$B$2/2</f>
        <v>3.6486801689823549</v>
      </c>
      <c r="P39" s="1">
        <f>(P12-P14)/$B$2/2</f>
        <v>3.9698664330652482</v>
      </c>
      <c r="Q39" s="1">
        <f>(Q12-Q14)/$B$2/2</f>
        <v>4.2862150593115578</v>
      </c>
      <c r="R39" s="1">
        <f>(R12-R14)/$B$2/2</f>
        <v>4.5565063145454641</v>
      </c>
      <c r="S39" s="1">
        <f>(S12-S14)/$B$2/2</f>
        <v>4.7883070433036883</v>
      </c>
      <c r="T39" s="1">
        <f>(T12-T14)/$B$2/2</f>
        <v>5</v>
      </c>
      <c r="U39" s="1">
        <v>3</v>
      </c>
      <c r="W39" s="5" t="s">
        <v>2</v>
      </c>
      <c r="X39" s="1">
        <f>F16</f>
        <v>0</v>
      </c>
      <c r="Y39" s="1">
        <f t="shared" ref="Y39:AL39" si="72">G16</f>
        <v>0.2</v>
      </c>
      <c r="Z39" s="1">
        <f t="shared" si="72"/>
        <v>0.4</v>
      </c>
      <c r="AA39" s="1">
        <f t="shared" si="72"/>
        <v>0.60000000000000009</v>
      </c>
      <c r="AB39" s="1">
        <f t="shared" si="72"/>
        <v>0.8</v>
      </c>
      <c r="AC39" s="1">
        <f t="shared" si="72"/>
        <v>1</v>
      </c>
      <c r="AD39" s="1">
        <f t="shared" si="72"/>
        <v>1.2</v>
      </c>
      <c r="AE39" s="1">
        <f t="shared" si="72"/>
        <v>1.4</v>
      </c>
      <c r="AF39" s="1">
        <f t="shared" si="72"/>
        <v>1.5999999999999999</v>
      </c>
      <c r="AG39" s="1">
        <f t="shared" si="72"/>
        <v>1.7999999999999998</v>
      </c>
      <c r="AH39" s="1">
        <f t="shared" si="72"/>
        <v>1.9999999999999998</v>
      </c>
      <c r="AI39" s="1">
        <f t="shared" si="72"/>
        <v>2.1999999999999997</v>
      </c>
      <c r="AJ39" s="1">
        <f t="shared" si="72"/>
        <v>2.4</v>
      </c>
      <c r="AK39" s="1">
        <f t="shared" si="72"/>
        <v>2.6</v>
      </c>
      <c r="AL39" s="1">
        <f t="shared" si="72"/>
        <v>2.8000000000000003</v>
      </c>
    </row>
    <row r="40" spans="4:38" x14ac:dyDescent="0.3">
      <c r="E40" s="1">
        <f t="shared" si="57"/>
        <v>0.20000000000000007</v>
      </c>
      <c r="N40" s="2">
        <f>(N13-N14)/$B$2</f>
        <v>3.1416989720698139</v>
      </c>
      <c r="O40" s="1">
        <f>(O13-O15)/$B$2/2</f>
        <v>2.7264528569605164</v>
      </c>
      <c r="P40" s="1">
        <f>(P13-P15)/$B$2/2</f>
        <v>3.5030493582823317</v>
      </c>
      <c r="Q40" s="1">
        <f>(Q13-Q15)/$B$2/2</f>
        <v>4.0358542019858303</v>
      </c>
      <c r="R40" s="1">
        <f>(R13-R15)/$B$2/2</f>
        <v>4.4233878006737619</v>
      </c>
      <c r="S40" s="1">
        <f>(S13-S15)/$B$2/2</f>
        <v>4.7298646707558074</v>
      </c>
      <c r="T40" s="1">
        <f>(T14-T15)/$B$2</f>
        <v>5</v>
      </c>
      <c r="U40" s="1">
        <v>2</v>
      </c>
      <c r="W40" s="5" t="s">
        <v>3</v>
      </c>
      <c r="X40" s="1">
        <f>$E$6+($E$5-$E$6)/((F5-F6)/($W$37-F6))</f>
        <v>1.9499999999999997</v>
      </c>
      <c r="Y40" s="1">
        <f t="shared" ref="Y40:AL40" si="73">$E$6+($E$5-$E$6)/((G5-G6)/($W$37-G6))</f>
        <v>1.9492811965232053</v>
      </c>
      <c r="Z40" s="1">
        <f t="shared" si="73"/>
        <v>1.9483239340273535</v>
      </c>
      <c r="AA40" s="1">
        <f t="shared" si="73"/>
        <v>1.9468629752111626</v>
      </c>
      <c r="AB40" s="1">
        <f t="shared" si="73"/>
        <v>1.9445916700999024</v>
      </c>
      <c r="AC40" s="1">
        <f t="shared" si="73"/>
        <v>1.9412839899748036</v>
      </c>
      <c r="AD40" s="1">
        <f t="shared" si="73"/>
        <v>1.9370954149805997</v>
      </c>
      <c r="AE40" s="1">
        <f t="shared" si="73"/>
        <v>1.9323341725146364</v>
      </c>
      <c r="AF40" s="1">
        <f t="shared" si="73"/>
        <v>1.9273155337496917</v>
      </c>
      <c r="AG40" s="1">
        <f t="shared" si="73"/>
        <v>1.9222995315168034</v>
      </c>
      <c r="AH40" s="1">
        <f t="shared" si="73"/>
        <v>1.9174625411278901</v>
      </c>
      <c r="AI40" s="1">
        <f t="shared" si="73"/>
        <v>1.9128837475598783</v>
      </c>
      <c r="AJ40" s="1">
        <f t="shared" si="73"/>
        <v>1.9085418417340621</v>
      </c>
      <c r="AK40" s="1">
        <f t="shared" si="73"/>
        <v>1.9043182306637958</v>
      </c>
      <c r="AL40" s="1">
        <f t="shared" si="73"/>
        <v>1.9</v>
      </c>
    </row>
    <row r="41" spans="4:38" x14ac:dyDescent="0.3">
      <c r="E41" s="1">
        <f t="shared" si="57"/>
        <v>0</v>
      </c>
      <c r="O41" s="2">
        <f>(O14-O15)/$B$2</f>
        <v>2.1832324129496574</v>
      </c>
      <c r="P41" s="2">
        <f>(P14-P15)/$B$2</f>
        <v>3.280023929810628</v>
      </c>
      <c r="Q41" s="2">
        <f>(Q14-Q15)/$B$2</f>
        <v>3.9307645879413688</v>
      </c>
      <c r="R41" s="2">
        <f>(R14-R15)/$B$2</f>
        <v>4.3713260072446714</v>
      </c>
      <c r="S41" s="2">
        <f>(S14-S15)/$B$2</f>
        <v>4.7077638383260272</v>
      </c>
      <c r="T41" s="2">
        <f>(T14-T15)/$B$2</f>
        <v>5</v>
      </c>
      <c r="U41" s="1">
        <v>1</v>
      </c>
    </row>
    <row r="42" spans="4:38" x14ac:dyDescent="0.3">
      <c r="F42" s="1">
        <v>0</v>
      </c>
      <c r="G42" s="1">
        <f>F42+0.2</f>
        <v>0.2</v>
      </c>
      <c r="H42" s="1">
        <f t="shared" ref="H42" si="74">G42+0.2</f>
        <v>0.4</v>
      </c>
      <c r="I42" s="1">
        <f t="shared" ref="I42" si="75">H42+0.2</f>
        <v>0.60000000000000009</v>
      </c>
      <c r="J42" s="1">
        <f t="shared" ref="J42" si="76">I42+0.2</f>
        <v>0.8</v>
      </c>
      <c r="K42" s="1">
        <f t="shared" ref="K42" si="77">J42+0.2</f>
        <v>1</v>
      </c>
      <c r="L42" s="1">
        <f t="shared" ref="L42" si="78">K42+0.2</f>
        <v>1.2</v>
      </c>
      <c r="M42" s="1">
        <f t="shared" ref="M42" si="79">L42+0.2</f>
        <v>1.4</v>
      </c>
      <c r="N42" s="1">
        <f t="shared" ref="N42" si="80">M42+0.2</f>
        <v>1.5999999999999999</v>
      </c>
      <c r="O42" s="1">
        <f t="shared" ref="O42" si="81">N42+0.2</f>
        <v>1.7999999999999998</v>
      </c>
      <c r="P42" s="1">
        <f t="shared" ref="P42" si="82">O42+0.2</f>
        <v>1.9999999999999998</v>
      </c>
      <c r="Q42" s="1">
        <f t="shared" ref="Q42" si="83">P42+0.2</f>
        <v>2.1999999999999997</v>
      </c>
      <c r="R42" s="1">
        <f t="shared" ref="R42" si="84">Q42+0.2</f>
        <v>2.4</v>
      </c>
      <c r="S42" s="1">
        <f t="shared" ref="S42" si="85">R42+0.2</f>
        <v>2.6</v>
      </c>
      <c r="T42" s="1">
        <f t="shared" ref="T42" si="86">S42+0.2</f>
        <v>2.8000000000000003</v>
      </c>
      <c r="W42" s="1">
        <v>10</v>
      </c>
      <c r="X42" s="3">
        <v>1</v>
      </c>
      <c r="Y42" s="3">
        <v>2</v>
      </c>
      <c r="Z42" s="3">
        <v>3</v>
      </c>
      <c r="AA42" s="3">
        <v>4</v>
      </c>
      <c r="AB42" s="3">
        <v>5</v>
      </c>
      <c r="AC42" s="3">
        <v>6</v>
      </c>
      <c r="AD42" s="3">
        <v>7</v>
      </c>
      <c r="AE42" s="3">
        <v>8</v>
      </c>
      <c r="AF42" s="3">
        <v>9</v>
      </c>
      <c r="AG42" s="3">
        <v>10</v>
      </c>
      <c r="AH42" s="3">
        <v>11</v>
      </c>
      <c r="AI42" s="3">
        <v>12</v>
      </c>
      <c r="AJ42" s="3">
        <v>13</v>
      </c>
      <c r="AK42" s="3">
        <v>14</v>
      </c>
      <c r="AL42" s="3">
        <v>15</v>
      </c>
    </row>
    <row r="43" spans="4:38" x14ac:dyDescent="0.3">
      <c r="X43" s="1">
        <f>$W42</f>
        <v>10</v>
      </c>
      <c r="Y43" s="1">
        <f t="shared" ref="Y43" si="87">$W42</f>
        <v>10</v>
      </c>
      <c r="Z43" s="1">
        <f t="shared" ref="Z43" si="88">$W42</f>
        <v>10</v>
      </c>
      <c r="AA43" s="1">
        <f t="shared" ref="AA43" si="89">$W42</f>
        <v>10</v>
      </c>
      <c r="AB43" s="1">
        <f t="shared" ref="AB43" si="90">$W42</f>
        <v>10</v>
      </c>
      <c r="AC43" s="1">
        <f t="shared" ref="AC43" si="91">$W42</f>
        <v>10</v>
      </c>
      <c r="AD43" s="1">
        <f t="shared" ref="AD43" si="92">$W42</f>
        <v>10</v>
      </c>
      <c r="AE43" s="1">
        <f t="shared" ref="AE43" si="93">$W42</f>
        <v>10</v>
      </c>
      <c r="AF43" s="1">
        <f t="shared" ref="AF43" si="94">$W42</f>
        <v>10</v>
      </c>
      <c r="AG43" s="1">
        <f t="shared" ref="AG43" si="95">$W42</f>
        <v>10</v>
      </c>
      <c r="AH43" s="1">
        <f t="shared" ref="AH43" si="96">$W42</f>
        <v>10</v>
      </c>
      <c r="AI43" s="1">
        <f t="shared" ref="AI43" si="97">$W42</f>
        <v>10</v>
      </c>
      <c r="AJ43" s="1">
        <f t="shared" ref="AJ43" si="98">$W42</f>
        <v>10</v>
      </c>
      <c r="AK43" s="1">
        <f t="shared" ref="AK43" si="99">$W42</f>
        <v>10</v>
      </c>
      <c r="AL43" s="1">
        <f t="shared" ref="AL43" si="100">$W42</f>
        <v>10</v>
      </c>
    </row>
    <row r="44" spans="4:38" x14ac:dyDescent="0.3">
      <c r="D44" s="1" t="s">
        <v>1</v>
      </c>
      <c r="E44" s="1">
        <f t="shared" ref="E44:E47" si="101">E45+0.2</f>
        <v>1.9999999999999998</v>
      </c>
      <c r="F44" s="2">
        <f>-(G18-F18)/$B$2</f>
        <v>0</v>
      </c>
      <c r="G44" s="2">
        <f>-(H18-G18)/$B$2</f>
        <v>0</v>
      </c>
      <c r="H44" s="2">
        <f>-(I18-H18)/$B$2</f>
        <v>0</v>
      </c>
      <c r="I44" s="2">
        <f>-(J18-I18)/$B$2</f>
        <v>0</v>
      </c>
      <c r="J44" s="2">
        <f>-(K18-J18)/$B$2</f>
        <v>0</v>
      </c>
      <c r="K44" s="2">
        <f>-(L18-K18)/$B$2</f>
        <v>0</v>
      </c>
      <c r="L44" s="2">
        <f>-(M18-L18)/$B$2</f>
        <v>0</v>
      </c>
      <c r="M44" s="2">
        <f>-(N18-M18)/$B$2</f>
        <v>0</v>
      </c>
      <c r="N44" s="2">
        <f>-(O18-N18)/$B$2</f>
        <v>0</v>
      </c>
      <c r="O44" s="2">
        <f>-(P18-O18)/$B$2</f>
        <v>0</v>
      </c>
      <c r="P44" s="2">
        <f>-(Q18-P18)/$B$2</f>
        <v>0</v>
      </c>
      <c r="Q44" s="2">
        <f>-(R18-Q18)/$B$2</f>
        <v>0</v>
      </c>
      <c r="R44" s="2">
        <f>-(S18-R18)/$B$2</f>
        <v>0</v>
      </c>
      <c r="S44" s="2">
        <f>-(T18-S18)/$B$2</f>
        <v>0</v>
      </c>
      <c r="T44" s="2">
        <f>-(T18-S18)/$B$2</f>
        <v>0</v>
      </c>
      <c r="U44" s="1">
        <v>11</v>
      </c>
      <c r="W44" s="5" t="s">
        <v>2</v>
      </c>
      <c r="X44" s="1">
        <f>F21</f>
        <v>4</v>
      </c>
      <c r="Y44" s="1">
        <f t="shared" ref="Y44" si="102">G21</f>
        <v>4.0526421221225526</v>
      </c>
      <c r="Z44" s="1">
        <f t="shared" ref="Z44" si="103">H21</f>
        <v>4.1266346581798743</v>
      </c>
      <c r="AA44" s="1">
        <f t="shared" ref="AA44" si="104">I21</f>
        <v>4.2517900880058166</v>
      </c>
      <c r="AB44" s="1">
        <f t="shared" ref="AB44" si="105">J21</f>
        <v>4.4741713266638401</v>
      </c>
      <c r="AC44" s="1">
        <f t="shared" ref="AC44" si="106">K21</f>
        <v>4.8432373797896995</v>
      </c>
      <c r="AD44" s="1">
        <f t="shared" ref="AD44" si="107">L21</f>
        <v>5.2420610834029873</v>
      </c>
      <c r="AE44" s="1">
        <f t="shared" ref="AE44" si="108">M21</f>
        <v>5.6105813848323587</v>
      </c>
      <c r="AF44" s="1">
        <f t="shared" ref="AF44" si="109">N21</f>
        <v>5.9287082261119739</v>
      </c>
      <c r="AG44" s="1">
        <f t="shared" ref="AG44" si="110">O21</f>
        <v>6.1944148571481037</v>
      </c>
      <c r="AH44" s="1">
        <f t="shared" ref="AH44" si="111">P21</f>
        <v>6.4131650050257774</v>
      </c>
      <c r="AI44" s="1">
        <f t="shared" ref="AI44" si="112">Q21</f>
        <v>6.5934590758064395</v>
      </c>
      <c r="AJ44" s="1">
        <f t="shared" ref="AJ44" si="113">R21</f>
        <v>6.7448748779046497</v>
      </c>
      <c r="AK44" s="1">
        <f t="shared" ref="AK44" si="114">S21</f>
        <v>6.8771791263304847</v>
      </c>
      <c r="AL44" s="1">
        <f t="shared" ref="AL44" si="115">T21</f>
        <v>7</v>
      </c>
    </row>
    <row r="45" spans="4:38" x14ac:dyDescent="0.3">
      <c r="E45" s="1">
        <f t="shared" si="101"/>
        <v>1.7999999999999998</v>
      </c>
      <c r="F45" s="1">
        <f>-(G19-F19)/$B$2</f>
        <v>-0.14172327180837385</v>
      </c>
      <c r="G45" s="1">
        <f>-(H19-F19)/2/$B$2</f>
        <v>-0.16217043084465921</v>
      </c>
      <c r="H45" s="1">
        <f>-(I19-G19)/2/$B$2</f>
        <v>-0.22432094181853657</v>
      </c>
      <c r="I45" s="1">
        <f>-(J19-H19)/2/$B$2</f>
        <v>-0.32587260531130369</v>
      </c>
      <c r="J45" s="1">
        <f>-(K19-I19)/2/$B$2</f>
        <v>-0.44703492172595283</v>
      </c>
      <c r="K45" s="1">
        <f>-(L19-J19)/2/$B$2</f>
        <v>-0.53768386727016448</v>
      </c>
      <c r="L45" s="1">
        <f>-(M19-K19)/2/$B$2</f>
        <v>-0.56315540045857482</v>
      </c>
      <c r="M45" s="1">
        <f>-(N19-L19)/2/$B$2</f>
        <v>-0.53474863236776748</v>
      </c>
      <c r="N45" s="1">
        <f>-(O19-M19)/2/$B$2</f>
        <v>-0.47714328241781345</v>
      </c>
      <c r="O45" s="1">
        <f>-(P19-N19)/2/$B$2</f>
        <v>-0.41059671147508858</v>
      </c>
      <c r="P45" s="1">
        <f>-(Q19-O19)/2/$B$2</f>
        <v>-0.3477552312084331</v>
      </c>
      <c r="Q45" s="1">
        <f>-(R19-P19)/2/$B$2</f>
        <v>-0.29543732809877987</v>
      </c>
      <c r="R45" s="1">
        <f>-(S19-Q19)/2/$B$2</f>
        <v>-0.25690064940917967</v>
      </c>
      <c r="S45" s="1">
        <f>-(T19-R19)/2/$B$2</f>
        <v>-0.23349042463223668</v>
      </c>
      <c r="T45" s="1">
        <f>-(T19-S19)/$B$2</f>
        <v>-0.22565587411464527</v>
      </c>
      <c r="U45" s="1">
        <v>10</v>
      </c>
      <c r="W45" s="5" t="s">
        <v>3</v>
      </c>
      <c r="X45" s="1">
        <f>$E5</f>
        <v>1.9999999999999998</v>
      </c>
      <c r="Y45" s="1">
        <f t="shared" ref="Y45:AM45" si="116">$E5</f>
        <v>1.9999999999999998</v>
      </c>
      <c r="Z45" s="1">
        <f t="shared" si="116"/>
        <v>1.9999999999999998</v>
      </c>
      <c r="AA45" s="1">
        <f t="shared" si="116"/>
        <v>1.9999999999999998</v>
      </c>
      <c r="AB45" s="1">
        <f t="shared" si="116"/>
        <v>1.9999999999999998</v>
      </c>
      <c r="AC45" s="1">
        <f t="shared" si="116"/>
        <v>1.9999999999999998</v>
      </c>
      <c r="AD45" s="1">
        <f t="shared" si="116"/>
        <v>1.9999999999999998</v>
      </c>
      <c r="AE45" s="1">
        <f t="shared" si="116"/>
        <v>1.9999999999999998</v>
      </c>
      <c r="AF45" s="1">
        <f t="shared" si="116"/>
        <v>1.9999999999999998</v>
      </c>
      <c r="AG45" s="1">
        <f t="shared" si="116"/>
        <v>1.9999999999999998</v>
      </c>
      <c r="AH45" s="1">
        <f t="shared" si="116"/>
        <v>1.9999999999999998</v>
      </c>
      <c r="AI45" s="1">
        <f t="shared" si="116"/>
        <v>1.9999999999999998</v>
      </c>
      <c r="AJ45" s="1">
        <f t="shared" si="116"/>
        <v>1.9999999999999998</v>
      </c>
      <c r="AK45" s="1">
        <f t="shared" si="116"/>
        <v>1.9999999999999998</v>
      </c>
      <c r="AL45" s="1">
        <f t="shared" si="116"/>
        <v>1.9999999999999998</v>
      </c>
    </row>
    <row r="46" spans="4:38" x14ac:dyDescent="0.3">
      <c r="E46" s="1">
        <f t="shared" si="101"/>
        <v>1.5999999999999999</v>
      </c>
      <c r="F46" s="1">
        <f>-(G20-F20)/$B$2</f>
        <v>-0.24255222530812137</v>
      </c>
      <c r="G46" s="1">
        <f>-(H20-F20)/2/$B$2</f>
        <v>-0.2826375082106658</v>
      </c>
      <c r="H46" s="1">
        <f>-(I20-G20)/2/$B$2</f>
        <v>-0.40924073082225343</v>
      </c>
      <c r="I46" s="1">
        <f>-(J20-H20)/2/$B$2</f>
        <v>-0.63213455546708319</v>
      </c>
      <c r="J46" s="1">
        <f>-(K20-I20)/2/$B$2</f>
        <v>-0.92458321388315223</v>
      </c>
      <c r="K46" s="1">
        <f>-(L20-J20)/2/$B$2</f>
        <v>-1.1405451439142866</v>
      </c>
      <c r="L46" s="1">
        <f>-(M20-K20)/2/$B$2</f>
        <v>-1.1801891017267829</v>
      </c>
      <c r="M46" s="1">
        <f>-(N20-L20)/2/$B$2</f>
        <v>-1.0986958443092742</v>
      </c>
      <c r="N46" s="1">
        <f>-(O20-M20)/2/$B$2</f>
        <v>-0.96322778562967892</v>
      </c>
      <c r="O46" s="1">
        <f>-(P20-N20)/2/$B$2</f>
        <v>-0.81748833247778929</v>
      </c>
      <c r="P46" s="1">
        <f>-(Q20-O20)/2/$B$2</f>
        <v>-0.68498688555300724</v>
      </c>
      <c r="Q46" s="1">
        <f>-(R20-P20)/2/$B$2</f>
        <v>-0.57709343512433398</v>
      </c>
      <c r="R46" s="1">
        <f>-(S20-Q20)/2/$B$2</f>
        <v>-0.49867484566195941</v>
      </c>
      <c r="S46" s="1">
        <f>-(T20-R20)/2/$B$2</f>
        <v>-0.45140518049656686</v>
      </c>
      <c r="T46" s="1">
        <f>-(T20-S20)/$B$2</f>
        <v>-0.4356426481382103</v>
      </c>
      <c r="U46" s="1">
        <v>9</v>
      </c>
    </row>
    <row r="47" spans="4:38" x14ac:dyDescent="0.3">
      <c r="E47" s="1">
        <f t="shared" si="101"/>
        <v>1.4</v>
      </c>
      <c r="F47" s="1">
        <f>-(G21-F21)/$B$2</f>
        <v>-0.26321061061276296</v>
      </c>
      <c r="G47" s="1">
        <f>-(H21-F21)/2/$B$2</f>
        <v>-0.31658664544968573</v>
      </c>
      <c r="H47" s="1">
        <f>-(I21-G21)/2/$B$2</f>
        <v>-0.49786991470816</v>
      </c>
      <c r="I47" s="1">
        <f>-(J21-H21)/2/$B$2</f>
        <v>-0.86884167120991451</v>
      </c>
      <c r="J47" s="1">
        <f>-(K21-I21)/2/$B$2</f>
        <v>-1.4786182294597072</v>
      </c>
      <c r="K47" s="1">
        <f>-(L21-J21)/2/$B$2</f>
        <v>-1.9197243918478679</v>
      </c>
      <c r="L47" s="1">
        <f>-(M21-K21)/2/$B$2</f>
        <v>-1.918360012606648</v>
      </c>
      <c r="M47" s="1">
        <f>-(N21-L21)/2/$B$2</f>
        <v>-1.7166178567724666</v>
      </c>
      <c r="N47" s="1">
        <f>-(O21-M21)/2/$B$2</f>
        <v>-1.4595836807893625</v>
      </c>
      <c r="O47" s="1">
        <f>-(P21-N21)/2/$B$2</f>
        <v>-1.2111419472845086</v>
      </c>
      <c r="P47" s="1">
        <f>-(Q21-O21)/2/$B$2</f>
        <v>-0.99761054664583959</v>
      </c>
      <c r="Q47" s="1">
        <f>-(R21-P21)/2/$B$2</f>
        <v>-0.82927468219718081</v>
      </c>
      <c r="R47" s="1">
        <f>-(S21-Q21)/2/$B$2</f>
        <v>-0.70930012631011286</v>
      </c>
      <c r="S47" s="1">
        <f>-(T21-R21)/2/$B$2</f>
        <v>-0.6378128052383758</v>
      </c>
      <c r="T47" s="1">
        <f>-(T21-S21)/$B$2</f>
        <v>-0.61410436834757665</v>
      </c>
      <c r="U47" s="1">
        <v>8</v>
      </c>
    </row>
    <row r="48" spans="4:38" x14ac:dyDescent="0.3">
      <c r="E48" s="1">
        <f>E49+0.2</f>
        <v>1.2</v>
      </c>
      <c r="F48" s="1">
        <f>-(G22-F22)/$B$2</f>
        <v>-0.17711692584228445</v>
      </c>
      <c r="G48" s="1">
        <f>-(H22-F22)/2/$B$2</f>
        <v>-0.22262854559480405</v>
      </c>
      <c r="H48" s="1">
        <f>-(I22-G22)/2/$B$2</f>
        <v>-0.39681061080499846</v>
      </c>
      <c r="I48" s="1">
        <f>-(J22-H22)/2/$B$2</f>
        <v>-0.86674398061349689</v>
      </c>
      <c r="J48" s="1">
        <f>-(K22-I22)/2/$B$2</f>
        <v>-2.2013236398472222</v>
      </c>
      <c r="K48" s="1">
        <f>-(L22-J22)/2/$B$2</f>
        <v>-3.1413741734373199</v>
      </c>
      <c r="L48" s="1">
        <f>-(M22-K22)/2/$B$2</f>
        <v>-2.8569086987555479</v>
      </c>
      <c r="M48" s="1">
        <f>-(N22-L22)/2/$B$2</f>
        <v>-2.389831882649712</v>
      </c>
      <c r="N48" s="1">
        <f>-(O22-M22)/2/$B$2</f>
        <v>-1.9473471328227143</v>
      </c>
      <c r="O48" s="1">
        <f>-(P22-N22)/2/$B$2</f>
        <v>-1.5698852290229048</v>
      </c>
      <c r="P48" s="1">
        <f>-(Q22-O22)/2/$B$2</f>
        <v>-1.2650386722106521</v>
      </c>
      <c r="Q48" s="1">
        <f>-(R22-P22)/2/$B$2</f>
        <v>-1.0330946289205745</v>
      </c>
      <c r="R48" s="1">
        <f>-(S22-Q22)/2/$B$2</f>
        <v>-0.87143817404649715</v>
      </c>
      <c r="S48" s="1">
        <f>-(T22-R22)/2/$B$2</f>
        <v>-0.77644155976118734</v>
      </c>
      <c r="T48" s="1">
        <f>-(T22-S22)/$B$2</f>
        <v>-0.74514921718245031</v>
      </c>
      <c r="U48" s="1">
        <v>7</v>
      </c>
    </row>
    <row r="49" spans="5:21" x14ac:dyDescent="0.3">
      <c r="E49" s="1">
        <v>1</v>
      </c>
      <c r="F49" s="2">
        <f>-(G23-F23)/$B$2</f>
        <v>0</v>
      </c>
      <c r="G49" s="2">
        <f>-(H23-G23)/$B$2</f>
        <v>0</v>
      </c>
      <c r="H49" s="2">
        <f>-(I23-H23)/$B$2</f>
        <v>0</v>
      </c>
      <c r="I49" s="2">
        <f>-(J23-I23)/$B$2</f>
        <v>0</v>
      </c>
      <c r="J49" s="2">
        <f>-(K23-J23)/$B$2</f>
        <v>-6.6371163381070764</v>
      </c>
      <c r="K49" s="1">
        <f>-(L23-J23)/2/$B$2</f>
        <v>-5.5875399616875754</v>
      </c>
      <c r="L49" s="1">
        <f>-(M23-K23)/2/$B$2</f>
        <v>-3.9780687159657555</v>
      </c>
      <c r="M49" s="1">
        <f>-(N23-L23)/2/$B$2</f>
        <v>-3.0384538408091908</v>
      </c>
      <c r="N49" s="1">
        <f>-(O23-M23)/2/$B$2</f>
        <v>-2.3700877332672641</v>
      </c>
      <c r="O49" s="1">
        <f>-(P23-N23)/2/$B$2</f>
        <v>-1.8560131636041433</v>
      </c>
      <c r="P49" s="1">
        <f>-(Q23-O23)/2/$B$2</f>
        <v>-1.4595642883440241</v>
      </c>
      <c r="Q49" s="1">
        <f>-(R23-P23)/2/$B$2</f>
        <v>-1.1666269887107705</v>
      </c>
      <c r="R49" s="1">
        <f>-(S23-Q23)/2/$B$2</f>
        <v>-0.96691639445353861</v>
      </c>
      <c r="S49" s="1">
        <f>-(T23-R23)/2/$B$2</f>
        <v>-0.85136604518831982</v>
      </c>
      <c r="T49" s="1">
        <f>-(T23-S23)/$B$2</f>
        <v>-0.81360939783175823</v>
      </c>
      <c r="U49" s="1">
        <v>6</v>
      </c>
    </row>
    <row r="50" spans="5:21" x14ac:dyDescent="0.3">
      <c r="E50" s="1">
        <f>E49-0.2</f>
        <v>0.8</v>
      </c>
      <c r="K50" s="2">
        <f>-(L24-K24)/$B$2</f>
        <v>-5.0084561616949053</v>
      </c>
      <c r="L50" s="1">
        <f>-(M24-K24)/2/$B$2</f>
        <v>-4.4293723605970525</v>
      </c>
      <c r="M50" s="1">
        <f>-(N24-L24)/2/$B$2</f>
        <v>-3.4158270206579244</v>
      </c>
      <c r="N50" s="1">
        <f>-(O24-M24)/2/$B$2</f>
        <v>-2.6385367946614839</v>
      </c>
      <c r="O50" s="1">
        <f>-(P24-N24)/2/$B$2</f>
        <v>-2.0245154015238431</v>
      </c>
      <c r="P50" s="1">
        <f>-(Q24-O24)/2/$B$2</f>
        <v>-1.5505783293968645</v>
      </c>
      <c r="Q50" s="1">
        <f>-(R24-P24)/2/$B$2</f>
        <v>-1.20693265193488</v>
      </c>
      <c r="R50" s="1">
        <f>-(S24-Q24)/2/$B$2</f>
        <v>-0.97823437204437647</v>
      </c>
      <c r="S50" s="1">
        <f>-(T24-R24)/2/$B$2</f>
        <v>-0.84849684503589984</v>
      </c>
      <c r="T50" s="1">
        <f>-(T24-S24)/$B$2</f>
        <v>-0.80655628660044387</v>
      </c>
      <c r="U50" s="1">
        <v>5</v>
      </c>
    </row>
    <row r="51" spans="5:21" x14ac:dyDescent="0.3">
      <c r="E51" s="1">
        <f t="shared" ref="E51:E54" si="117">E50-0.2</f>
        <v>0.60000000000000009</v>
      </c>
      <c r="L51" s="2">
        <f>-(M25-L25)/$B$2</f>
        <v>-3.9931587231634222</v>
      </c>
      <c r="M51" s="1">
        <f>-(N25-L25)/2/$B$2</f>
        <v>-3.556945084595037</v>
      </c>
      <c r="N51" s="1">
        <f>-(O25-M25)/2/$B$2</f>
        <v>-2.7437170145562271</v>
      </c>
      <c r="O51" s="1">
        <f>-(P25-N25)/2/$B$2</f>
        <v>-2.0529333178355329</v>
      </c>
      <c r="P51" s="1">
        <f>-(Q25-O25)/2/$B$2</f>
        <v>-1.5113009778070368</v>
      </c>
      <c r="Q51" s="1">
        <f>-(R25-P25)/2/$B$2</f>
        <v>-1.1322909188129815</v>
      </c>
      <c r="R51" s="1">
        <f>-(S25-Q25)/2/$B$2</f>
        <v>-0.89059160879122468</v>
      </c>
      <c r="S51" s="1">
        <f>-(T25-R25)/2/$B$2</f>
        <v>-0.75783067875644816</v>
      </c>
      <c r="T51" s="1">
        <f>-(T25-S25)/$B$2</f>
        <v>-0.71562207452759985</v>
      </c>
      <c r="U51" s="1">
        <v>4</v>
      </c>
    </row>
    <row r="52" spans="5:21" x14ac:dyDescent="0.3">
      <c r="E52" s="1">
        <f t="shared" si="117"/>
        <v>0.40000000000000008</v>
      </c>
      <c r="M52" s="2">
        <f>-(N26-M26)/$B$2</f>
        <v>-3.1416989725703668</v>
      </c>
      <c r="N52" s="1">
        <f>-(O26-M26)/2/$B$2</f>
        <v>-2.7264528595445912</v>
      </c>
      <c r="O52" s="1">
        <f>-(P26-N26)/2/$B$2</f>
        <v>-1.932199872484931</v>
      </c>
      <c r="P52" s="1">
        <f>-(Q26-O26)/2/$B$2</f>
        <v>-1.3094013452548496</v>
      </c>
      <c r="Q52" s="1">
        <f>-(R26-P26)/2/$B$2</f>
        <v>-0.92033844225580752</v>
      </c>
      <c r="R52" s="1">
        <f>-(S26-Q26)/2/$B$2</f>
        <v>-0.69401046712404157</v>
      </c>
      <c r="S52" s="1">
        <f>-(T26-R26)/2/$B$2</f>
        <v>-0.57661219897407801</v>
      </c>
      <c r="T52" s="1">
        <f>-(T26-S26)/$B$2</f>
        <v>-0.5402706561530346</v>
      </c>
      <c r="U52" s="1">
        <v>3</v>
      </c>
    </row>
    <row r="53" spans="5:21" x14ac:dyDescent="0.3">
      <c r="E53" s="1">
        <f t="shared" si="117"/>
        <v>0.20000000000000007</v>
      </c>
      <c r="N53" s="2">
        <f>-(O27-N27)/$B$2</f>
        <v>-2.1832324132976622</v>
      </c>
      <c r="O53" s="1">
        <f>-(P27-N27)/2/$B$2</f>
        <v>-1.6400119663547235</v>
      </c>
      <c r="P53" s="1">
        <f>-(Q27-O27)/2/$B$2</f>
        <v>-0.87376608755348006</v>
      </c>
      <c r="Q53" s="1">
        <f>-(R27-P27)/2/$B$2</f>
        <v>-0.54565103837384998</v>
      </c>
      <c r="R53" s="1">
        <f>-(S27-Q27)/2/$B$2</f>
        <v>-0.38849962505879798</v>
      </c>
      <c r="S53" s="1">
        <f>-(T27-R27)/2/$B$2</f>
        <v>-0.31433699527142644</v>
      </c>
      <c r="T53" s="1">
        <f>-(T27-S27)/$B$2</f>
        <v>-0.29223616147778131</v>
      </c>
      <c r="U53" s="1">
        <v>2</v>
      </c>
    </row>
    <row r="54" spans="5:21" x14ac:dyDescent="0.3">
      <c r="E54" s="1">
        <f t="shared" si="117"/>
        <v>0</v>
      </c>
      <c r="O54" s="2">
        <f>-(P28-O28)/$B$2</f>
        <v>0</v>
      </c>
      <c r="P54" s="2">
        <f>-(Q28-P28)/$B$2</f>
        <v>0</v>
      </c>
      <c r="Q54" s="2">
        <f>-(R28-Q28)/$B$2</f>
        <v>0</v>
      </c>
      <c r="R54" s="2">
        <f>-(S28-R28)/$B$2</f>
        <v>0</v>
      </c>
      <c r="S54" s="2">
        <f>-(T28-S28)/$B$2</f>
        <v>0</v>
      </c>
      <c r="T54" s="2">
        <f>-(T28)/$B$2</f>
        <v>0</v>
      </c>
      <c r="U54" s="1">
        <v>1</v>
      </c>
    </row>
    <row r="55" spans="5:21" x14ac:dyDescent="0.3">
      <c r="F55" s="1">
        <v>0</v>
      </c>
      <c r="G55" s="1">
        <f>F55+0.2</f>
        <v>0.2</v>
      </c>
      <c r="H55" s="1">
        <f t="shared" ref="H55" si="118">G55+0.2</f>
        <v>0.4</v>
      </c>
      <c r="I55" s="1">
        <f t="shared" ref="I55" si="119">H55+0.2</f>
        <v>0.60000000000000009</v>
      </c>
      <c r="J55" s="1">
        <f t="shared" ref="J55" si="120">I55+0.2</f>
        <v>0.8</v>
      </c>
      <c r="K55" s="1">
        <f t="shared" ref="K55" si="121">J55+0.2</f>
        <v>1</v>
      </c>
      <c r="L55" s="1">
        <f t="shared" ref="L55" si="122">K55+0.2</f>
        <v>1.2</v>
      </c>
      <c r="M55" s="1">
        <f t="shared" ref="M55" si="123">L55+0.2</f>
        <v>1.4</v>
      </c>
      <c r="N55" s="1">
        <f t="shared" ref="N55" si="124">M55+0.2</f>
        <v>1.5999999999999999</v>
      </c>
      <c r="O55" s="1">
        <f t="shared" ref="O55" si="125">N55+0.2</f>
        <v>1.7999999999999998</v>
      </c>
      <c r="P55" s="1">
        <f t="shared" ref="P55" si="126">O55+0.2</f>
        <v>1.9999999999999998</v>
      </c>
      <c r="Q55" s="1">
        <f t="shared" ref="Q55" si="127">P55+0.2</f>
        <v>2.1999999999999997</v>
      </c>
      <c r="R55" s="1">
        <f t="shared" ref="R55" si="128">Q55+0.2</f>
        <v>2.4</v>
      </c>
      <c r="S55" s="1">
        <f t="shared" ref="S55" si="129">R55+0.2</f>
        <v>2.6</v>
      </c>
      <c r="T55" s="1">
        <f t="shared" ref="T55" si="130">S55+0.2</f>
        <v>2.8000000000000003</v>
      </c>
    </row>
    <row r="57" spans="5:21" x14ac:dyDescent="0.3">
      <c r="E57" s="1">
        <f t="shared" ref="E57:E60" si="131">E58+0.2</f>
        <v>1.9999999999999998</v>
      </c>
      <c r="F57" s="2">
        <f>(F44^2+F31^2)^0.5</f>
        <v>10</v>
      </c>
      <c r="G57" s="2">
        <f t="shared" ref="G57:T57" si="132">(G44^2+G31^2)^0.5</f>
        <v>9.8582767282506367</v>
      </c>
      <c r="H57" s="2">
        <f t="shared" si="132"/>
        <v>9.6756591390812119</v>
      </c>
      <c r="I57" s="2">
        <f t="shared" si="132"/>
        <v>9.4096348447615341</v>
      </c>
      <c r="J57" s="2">
        <f t="shared" si="132"/>
        <v>9.0239139295754267</v>
      </c>
      <c r="K57" s="2">
        <f t="shared" si="132"/>
        <v>8.5155650015292217</v>
      </c>
      <c r="L57" s="2">
        <f t="shared" si="132"/>
        <v>7.9485461965260207</v>
      </c>
      <c r="M57" s="2">
        <f t="shared" si="132"/>
        <v>7.389254200846862</v>
      </c>
      <c r="N57" s="2">
        <f t="shared" si="132"/>
        <v>6.8790489329331894</v>
      </c>
      <c r="O57" s="2">
        <f t="shared" si="132"/>
        <v>6.4349676361105956</v>
      </c>
      <c r="P57" s="2">
        <f t="shared" si="132"/>
        <v>6.0578555098811648</v>
      </c>
      <c r="Q57" s="2">
        <f t="shared" si="132"/>
        <v>5.7394571735471622</v>
      </c>
      <c r="R57" s="2">
        <f t="shared" si="132"/>
        <v>5.466980852010197</v>
      </c>
      <c r="S57" s="2">
        <f t="shared" si="132"/>
        <v>5.2256558743506698</v>
      </c>
      <c r="T57" s="2">
        <f t="shared" si="132"/>
        <v>5</v>
      </c>
      <c r="U57" s="1">
        <v>11</v>
      </c>
    </row>
    <row r="58" spans="5:21" x14ac:dyDescent="0.3">
      <c r="E58" s="1">
        <f t="shared" si="131"/>
        <v>1.7999999999999998</v>
      </c>
      <c r="F58" s="1">
        <f t="shared" ref="F58:T58" si="133">(F45^2+F32^2)^0.5</f>
        <v>10.001004223865325</v>
      </c>
      <c r="G58" s="1">
        <f t="shared" si="133"/>
        <v>9.8800549035398664</v>
      </c>
      <c r="H58" s="1">
        <f t="shared" si="133"/>
        <v>9.7199513210613979</v>
      </c>
      <c r="I58" s="1">
        <f t="shared" si="133"/>
        <v>9.4750886131392402</v>
      </c>
      <c r="J58" s="1">
        <f t="shared" si="133"/>
        <v>9.0962193729585454</v>
      </c>
      <c r="K58" s="1">
        <f t="shared" si="133"/>
        <v>8.5617999865892838</v>
      </c>
      <c r="L58" s="1">
        <f t="shared" si="133"/>
        <v>7.9646172968290934</v>
      </c>
      <c r="M58" s="1">
        <f t="shared" si="133"/>
        <v>7.3840992629314259</v>
      </c>
      <c r="N58" s="1">
        <f t="shared" si="133"/>
        <v>6.86259448130488</v>
      </c>
      <c r="O58" s="1">
        <f t="shared" si="133"/>
        <v>6.4146375596924958</v>
      </c>
      <c r="P58" s="1">
        <f t="shared" si="133"/>
        <v>6.0385204535141463</v>
      </c>
      <c r="Q58" s="1">
        <f t="shared" si="133"/>
        <v>5.724125410384544</v>
      </c>
      <c r="R58" s="1">
        <f t="shared" si="133"/>
        <v>5.4574551203104855</v>
      </c>
      <c r="S58" s="1">
        <f t="shared" si="133"/>
        <v>5.2230429026121383</v>
      </c>
      <c r="T58" s="1">
        <f t="shared" si="133"/>
        <v>5.0050894670847237</v>
      </c>
      <c r="U58" s="1">
        <v>10</v>
      </c>
    </row>
    <row r="59" spans="5:21" x14ac:dyDescent="0.3">
      <c r="E59" s="1">
        <f t="shared" si="131"/>
        <v>1.5999999999999999</v>
      </c>
      <c r="F59" s="1">
        <f t="shared" ref="F59:T59" si="134">(F46^2+F33^2)^0.5</f>
        <v>10.002941146582934</v>
      </c>
      <c r="G59" s="1">
        <f t="shared" si="134"/>
        <v>9.9432741271065552</v>
      </c>
      <c r="H59" s="1">
        <f t="shared" si="134"/>
        <v>9.8540853485529265</v>
      </c>
      <c r="I59" s="1">
        <f t="shared" si="134"/>
        <v>9.6863560136243372</v>
      </c>
      <c r="J59" s="1">
        <f t="shared" si="134"/>
        <v>9.3484487887035357</v>
      </c>
      <c r="K59" s="1">
        <f t="shared" si="134"/>
        <v>8.709129769370092</v>
      </c>
      <c r="L59" s="1">
        <f t="shared" si="134"/>
        <v>8.0080173530425967</v>
      </c>
      <c r="M59" s="1">
        <f t="shared" si="134"/>
        <v>7.3613722054528408</v>
      </c>
      <c r="N59" s="1">
        <f t="shared" si="134"/>
        <v>6.8071985787256333</v>
      </c>
      <c r="O59" s="1">
        <f t="shared" si="134"/>
        <v>6.34932559214813</v>
      </c>
      <c r="P59" s="1">
        <f t="shared" si="134"/>
        <v>5.9775369599728112</v>
      </c>
      <c r="Q59" s="1">
        <f t="shared" si="134"/>
        <v>5.6760370258485944</v>
      </c>
      <c r="R59" s="1">
        <f t="shared" si="134"/>
        <v>5.4272808125344874</v>
      </c>
      <c r="S59" s="1">
        <f t="shared" si="134"/>
        <v>5.2138020837208181</v>
      </c>
      <c r="T59" s="1">
        <f t="shared" si="134"/>
        <v>5.0189425695934071</v>
      </c>
      <c r="U59" s="1">
        <v>9</v>
      </c>
    </row>
    <row r="60" spans="5:21" x14ac:dyDescent="0.3">
      <c r="E60" s="1">
        <f t="shared" si="131"/>
        <v>1.4</v>
      </c>
      <c r="F60" s="1">
        <f t="shared" ref="F60:T60" si="135">(F47^2+F34^2)^0.5</f>
        <v>10.003463391522915</v>
      </c>
      <c r="G60" s="1">
        <f t="shared" si="135"/>
        <v>10.037711419505674</v>
      </c>
      <c r="H60" s="1">
        <f t="shared" si="135"/>
        <v>10.072321221009606</v>
      </c>
      <c r="I60" s="1">
        <f t="shared" si="135"/>
        <v>10.082652406968984</v>
      </c>
      <c r="J60" s="1">
        <f t="shared" si="135"/>
        <v>9.9360348197097128</v>
      </c>
      <c r="K60" s="1">
        <f t="shared" si="135"/>
        <v>8.9760965397070098</v>
      </c>
      <c r="L60" s="1">
        <f t="shared" si="135"/>
        <v>8.0563024256624587</v>
      </c>
      <c r="M60" s="1">
        <f t="shared" si="135"/>
        <v>7.2964931290918669</v>
      </c>
      <c r="N60" s="1">
        <f t="shared" si="135"/>
        <v>6.6944865743210986</v>
      </c>
      <c r="O60" s="1">
        <f t="shared" si="135"/>
        <v>6.2264963340250432</v>
      </c>
      <c r="P60" s="1">
        <f t="shared" si="135"/>
        <v>5.8664829521574857</v>
      </c>
      <c r="Q60" s="1">
        <f t="shared" si="135"/>
        <v>5.5893771053223613</v>
      </c>
      <c r="R60" s="1">
        <f t="shared" si="135"/>
        <v>5.3720684202773974</v>
      </c>
      <c r="S60" s="1">
        <f t="shared" si="135"/>
        <v>5.1940626302191619</v>
      </c>
      <c r="T60" s="1">
        <f t="shared" si="135"/>
        <v>5.037571257582723</v>
      </c>
      <c r="U60" s="1">
        <v>8</v>
      </c>
    </row>
    <row r="61" spans="5:21" x14ac:dyDescent="0.3">
      <c r="E61" s="1">
        <f>E62+0.2</f>
        <v>1.2</v>
      </c>
      <c r="F61" s="1">
        <f t="shared" ref="F61:T61" si="136">(F48^2+F35^2)^0.5</f>
        <v>10.00156839727749</v>
      </c>
      <c r="G61" s="1">
        <f t="shared" si="136"/>
        <v>10.134050993102889</v>
      </c>
      <c r="H61" s="1">
        <f t="shared" si="136"/>
        <v>10.324215159523433</v>
      </c>
      <c r="I61" s="1">
        <f t="shared" si="136"/>
        <v>10.66475450148131</v>
      </c>
      <c r="J61" s="1">
        <f t="shared" si="136"/>
        <v>11.39998387515779</v>
      </c>
      <c r="K61" s="1">
        <f t="shared" si="136"/>
        <v>9.3340324693880685</v>
      </c>
      <c r="L61" s="1">
        <f t="shared" si="136"/>
        <v>8.042165673044769</v>
      </c>
      <c r="M61" s="1">
        <f t="shared" si="136"/>
        <v>7.1415588063205808</v>
      </c>
      <c r="N61" s="1">
        <f t="shared" si="136"/>
        <v>6.4945985674844708</v>
      </c>
      <c r="O61" s="1">
        <f t="shared" si="136"/>
        <v>6.0273588144813495</v>
      </c>
      <c r="P61" s="1">
        <f t="shared" si="136"/>
        <v>5.6932306501824801</v>
      </c>
      <c r="Q61" s="1">
        <f t="shared" si="136"/>
        <v>5.4560686203015996</v>
      </c>
      <c r="R61" s="1">
        <f t="shared" si="136"/>
        <v>5.2858813724060001</v>
      </c>
      <c r="S61" s="1">
        <f t="shared" si="136"/>
        <v>5.1585208352671232</v>
      </c>
      <c r="T61" s="1">
        <f t="shared" si="136"/>
        <v>5.0552198128140402</v>
      </c>
      <c r="U61" s="1">
        <v>7</v>
      </c>
    </row>
    <row r="62" spans="5:21" x14ac:dyDescent="0.3">
      <c r="E62" s="1">
        <v>1</v>
      </c>
      <c r="F62" s="2">
        <f t="shared" ref="F62:T63" si="137">(F49^2+F36^2)^0.5</f>
        <v>10</v>
      </c>
      <c r="G62" s="2">
        <f t="shared" si="137"/>
        <v>10.177116925450592</v>
      </c>
      <c r="H62" s="2">
        <f t="shared" si="137"/>
        <v>10.445257091048482</v>
      </c>
      <c r="I62" s="2">
        <f t="shared" si="137"/>
        <v>10.970738145908822</v>
      </c>
      <c r="J62" s="2">
        <f t="shared" si="137"/>
        <v>13.869864610971668</v>
      </c>
      <c r="K62" s="1">
        <f t="shared" si="137"/>
        <v>9.5029388958502299</v>
      </c>
      <c r="L62" s="1">
        <f t="shared" ref="L62:T62" si="138">(L49^2+L36^2)^0.5</f>
        <v>7.8147990014678301</v>
      </c>
      <c r="M62" s="1">
        <f t="shared" si="138"/>
        <v>6.8275909821004168</v>
      </c>
      <c r="N62" s="1">
        <f t="shared" si="138"/>
        <v>6.1735956958646812</v>
      </c>
      <c r="O62" s="1">
        <f t="shared" si="138"/>
        <v>5.7318531974925602</v>
      </c>
      <c r="P62" s="1">
        <f t="shared" si="138"/>
        <v>5.4451560595315538</v>
      </c>
      <c r="Q62" s="1">
        <f t="shared" si="138"/>
        <v>5.2682940341256197</v>
      </c>
      <c r="R62" s="1">
        <f t="shared" si="138"/>
        <v>5.1633973438355474</v>
      </c>
      <c r="S62" s="1">
        <f t="shared" si="138"/>
        <v>5.102235019660287</v>
      </c>
      <c r="T62" s="1">
        <f t="shared" si="138"/>
        <v>5.065763540892938</v>
      </c>
      <c r="U62" s="1">
        <v>6</v>
      </c>
    </row>
    <row r="63" spans="5:21" x14ac:dyDescent="0.3">
      <c r="E63" s="1">
        <f>E62-0.2</f>
        <v>0.8</v>
      </c>
      <c r="K63" s="2">
        <f t="shared" si="137"/>
        <v>8.3148028481053551</v>
      </c>
      <c r="L63" s="1">
        <f t="shared" ref="L63:T64" si="139">(L50^2+L37^2)^0.5</f>
        <v>7.1302133417055833</v>
      </c>
      <c r="M63" s="1">
        <f t="shared" ref="M63:T63" si="140">(M50^2+M37^2)^0.5</f>
        <v>6.3054244885573327</v>
      </c>
      <c r="N63" s="1">
        <f t="shared" si="140"/>
        <v>5.7146418344347385</v>
      </c>
      <c r="O63" s="1">
        <f t="shared" si="140"/>
        <v>5.3261861875168774</v>
      </c>
      <c r="P63" s="1">
        <f t="shared" si="140"/>
        <v>5.1129179417184787</v>
      </c>
      <c r="Q63" s="1">
        <f t="shared" si="140"/>
        <v>5.0218728243660324</v>
      </c>
      <c r="R63" s="1">
        <f t="shared" si="140"/>
        <v>5.0030328479060495</v>
      </c>
      <c r="S63" s="1">
        <f t="shared" si="140"/>
        <v>5.0231873006647669</v>
      </c>
      <c r="T63" s="1">
        <f t="shared" si="140"/>
        <v>5.0646355291822029</v>
      </c>
      <c r="U63" s="1">
        <v>5</v>
      </c>
    </row>
    <row r="64" spans="5:21" x14ac:dyDescent="0.3">
      <c r="E64" s="1">
        <f t="shared" ref="E64:E67" si="141">E63-0.2</f>
        <v>0.60000000000000009</v>
      </c>
      <c r="L64" s="2">
        <f t="shared" si="139"/>
        <v>6.4054624896615024</v>
      </c>
      <c r="M64" s="1">
        <f t="shared" ref="M64:T65" si="142">(M51^2+M38^2)^0.5</f>
        <v>5.680774402657879</v>
      </c>
      <c r="N64" s="1">
        <f t="shared" ref="N64:T64" si="143">(N51^2+N38^2)^0.5</f>
        <v>5.1423314298983325</v>
      </c>
      <c r="O64" s="1">
        <f t="shared" si="143"/>
        <v>4.8023721169430234</v>
      </c>
      <c r="P64" s="1">
        <f t="shared" si="143"/>
        <v>4.6916032138918959</v>
      </c>
      <c r="Q64" s="1">
        <f t="shared" si="143"/>
        <v>4.7204460045963952</v>
      </c>
      <c r="R64" s="1">
        <f t="shared" si="143"/>
        <v>4.8112605636509578</v>
      </c>
      <c r="S64" s="1">
        <f t="shared" si="143"/>
        <v>4.9255056782563695</v>
      </c>
      <c r="T64" s="1">
        <f t="shared" si="143"/>
        <v>5.050951885887569</v>
      </c>
      <c r="U64" s="1">
        <v>4</v>
      </c>
    </row>
    <row r="65" spans="5:21" x14ac:dyDescent="0.3">
      <c r="E65" s="1">
        <f t="shared" si="141"/>
        <v>0.40000000000000008</v>
      </c>
      <c r="M65" s="2">
        <f t="shared" si="142"/>
        <v>5.0809043504178053</v>
      </c>
      <c r="N65" s="1">
        <f t="shared" ref="N65:T66" si="144">(N52^2+N39^2)^0.5</f>
        <v>4.4816741857541187</v>
      </c>
      <c r="O65" s="1">
        <f t="shared" ref="O65:T65" si="145">(O52^2+O39^2)^0.5</f>
        <v>4.1287120658573286</v>
      </c>
      <c r="P65" s="1">
        <f t="shared" si="145"/>
        <v>4.1802358042738934</v>
      </c>
      <c r="Q65" s="1">
        <f t="shared" si="145"/>
        <v>4.383909486173617</v>
      </c>
      <c r="R65" s="1">
        <f t="shared" si="145"/>
        <v>4.60905633757827</v>
      </c>
      <c r="S65" s="1">
        <f t="shared" si="145"/>
        <v>4.8229001616203329</v>
      </c>
      <c r="T65" s="1">
        <f t="shared" si="145"/>
        <v>5.0291045308185858</v>
      </c>
      <c r="U65" s="1">
        <v>3</v>
      </c>
    </row>
    <row r="66" spans="5:21" x14ac:dyDescent="0.3">
      <c r="E66" s="1">
        <f t="shared" si="141"/>
        <v>0.20000000000000007</v>
      </c>
      <c r="N66" s="2">
        <f t="shared" si="144"/>
        <v>3.8258039941400628</v>
      </c>
      <c r="O66" s="1">
        <f t="shared" ref="O66:T67" si="146">(O53^2+O40^2)^0.5</f>
        <v>3.1816952134066594</v>
      </c>
      <c r="P66" s="1">
        <f t="shared" ref="P66:T66" si="147">(P53^2+P40^2)^0.5</f>
        <v>3.610376986177589</v>
      </c>
      <c r="Q66" s="1">
        <f t="shared" si="147"/>
        <v>4.0725734119061796</v>
      </c>
      <c r="R66" s="1">
        <f t="shared" si="147"/>
        <v>4.4404157005645644</v>
      </c>
      <c r="S66" s="1">
        <f t="shared" si="147"/>
        <v>4.7402982554118056</v>
      </c>
      <c r="T66" s="1">
        <f t="shared" si="147"/>
        <v>5.0085329163413981</v>
      </c>
      <c r="U66" s="1">
        <v>2</v>
      </c>
    </row>
    <row r="67" spans="5:21" x14ac:dyDescent="0.3">
      <c r="E67" s="1">
        <f t="shared" si="141"/>
        <v>0</v>
      </c>
      <c r="O67" s="2">
        <f t="shared" si="146"/>
        <v>2.1832324129496574</v>
      </c>
      <c r="P67" s="2">
        <f t="shared" ref="P67:T67" si="148">(P54^2+P41^2)^0.5</f>
        <v>3.280023929810628</v>
      </c>
      <c r="Q67" s="2">
        <f t="shared" si="148"/>
        <v>3.9307645879413688</v>
      </c>
      <c r="R67" s="2">
        <f t="shared" si="148"/>
        <v>4.3713260072446714</v>
      </c>
      <c r="S67" s="2">
        <f t="shared" si="148"/>
        <v>4.7077638383260272</v>
      </c>
      <c r="T67" s="2">
        <f t="shared" si="148"/>
        <v>5</v>
      </c>
      <c r="U67" s="1">
        <v>1</v>
      </c>
    </row>
    <row r="68" spans="5:21" x14ac:dyDescent="0.3">
      <c r="F68" s="1">
        <v>0</v>
      </c>
      <c r="G68" s="1">
        <f>F68+0.2</f>
        <v>0.2</v>
      </c>
      <c r="H68" s="1">
        <f t="shared" ref="H68" si="149">G68+0.2</f>
        <v>0.4</v>
      </c>
      <c r="I68" s="1">
        <f t="shared" ref="I68" si="150">H68+0.2</f>
        <v>0.60000000000000009</v>
      </c>
      <c r="J68" s="1">
        <f t="shared" ref="J68" si="151">I68+0.2</f>
        <v>0.8</v>
      </c>
      <c r="K68" s="1">
        <f t="shared" ref="K68" si="152">J68+0.2</f>
        <v>1</v>
      </c>
      <c r="L68" s="1">
        <f t="shared" ref="L68" si="153">K68+0.2</f>
        <v>1.2</v>
      </c>
      <c r="M68" s="1">
        <f t="shared" ref="M68" si="154">L68+0.2</f>
        <v>1.4</v>
      </c>
      <c r="N68" s="1">
        <f t="shared" ref="N68" si="155">M68+0.2</f>
        <v>1.5999999999999999</v>
      </c>
      <c r="O68" s="1">
        <f t="shared" ref="O68" si="156">N68+0.2</f>
        <v>1.7999999999999998</v>
      </c>
      <c r="P68" s="1">
        <f t="shared" ref="P68" si="157">O68+0.2</f>
        <v>1.9999999999999998</v>
      </c>
      <c r="Q68" s="1">
        <f t="shared" ref="Q68" si="158">P68+0.2</f>
        <v>2.1999999999999997</v>
      </c>
      <c r="R68" s="1">
        <f t="shared" ref="R68" si="159">Q68+0.2</f>
        <v>2.4</v>
      </c>
      <c r="S68" s="1">
        <f t="shared" ref="S68" si="160">R68+0.2</f>
        <v>2.6</v>
      </c>
      <c r="T68" s="1">
        <f t="shared" ref="T68" si="161">S68+0.2</f>
        <v>2.8000000000000003</v>
      </c>
    </row>
  </sheetData>
  <phoneticPr fontId="1" type="noConversion"/>
  <conditionalFormatting sqref="F5:S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"/>
  <sheetViews>
    <sheetView zoomScaleNormal="100" workbookViewId="0">
      <selection activeCell="P5" sqref="P1:P5"/>
    </sheetView>
  </sheetViews>
  <sheetFormatPr defaultRowHeight="14.4" x14ac:dyDescent="0.3"/>
  <sheetData>
    <row r="1" spans="1:16" x14ac:dyDescent="0.3">
      <c r="A1" s="10" t="s">
        <v>0</v>
      </c>
      <c r="B1" s="11">
        <f>(Лист1!F35-Лист1!F36)/((Лист1!$E$35-Лист1!$E$36)/(Лист1!X20-Лист1!$E$36))+Лист1!F36</f>
        <v>10</v>
      </c>
      <c r="C1" s="11">
        <f>(Лист1!G35-Лист1!G36)/((Лист1!$E$35-Лист1!$E$36)/(Лист1!Y20-Лист1!$E$36))+Лист1!G36</f>
        <v>10.165937035181139</v>
      </c>
      <c r="D1" s="11">
        <f>(Лист1!H35-Лист1!H36)/((Лист1!$E$35-Лист1!$E$36)/(Лист1!Z20-Лист1!$E$36))+Лист1!H36</f>
        <v>10.414460710177888</v>
      </c>
      <c r="E1" s="11">
        <f>(Лист1!I35-Лист1!I36)/((Лист1!$E$35-Лист1!$E$36)/(Лист1!AA20-Лист1!$E$36))+Лист1!I36</f>
        <v>10.892971517642302</v>
      </c>
      <c r="F1" s="11">
        <f>(Лист1!J35-Лист1!J36)/((Лист1!$E$35-Лист1!$E$36)/(Лист1!AB20-Лист1!$E$36))+Лист1!J36</f>
        <v>11.974841297344669</v>
      </c>
      <c r="G1" s="11">
        <f>(Лист1!K36-Лист1!K37)/((Лист1!$E$36-Лист1!$E$37)/(Лист1!AC20-Лист1!$E$37))+Лист1!K37</f>
        <v>7.032459857343305</v>
      </c>
      <c r="H1" s="11">
        <f>(Лист1!L37-Лист1!L38)/((Лист1!$E$37-Лист1!$E$38)/(Лист1!AD20-Лист1!$E$38))+Лист1!L38</f>
        <v>5.2975092040699598</v>
      </c>
      <c r="I1" s="11">
        <f>(Лист1!M38-Лист1!M39)/((Лист1!$E$38-Лист1!$E$39)/(Лист1!AE20-Лист1!$E$39))+Лист1!M39</f>
        <v>4.2662593335071621</v>
      </c>
      <c r="J1" s="11">
        <f>(Лист1!N39-Лист1!N40)/((Лист1!$E$39-Лист1!$E$40)/(Лист1!AF20-Лист1!$E$40))+Лист1!N40</f>
        <v>3.472130144024336</v>
      </c>
      <c r="K1" s="11">
        <f>(Лист1!O39-Лист1!O40)/((Лист1!$E$39-Лист1!$E$40)/(Лист1!AG20-Лист1!$E$40))+Лист1!O40</f>
        <v>3.4315900580899514</v>
      </c>
      <c r="L1" s="11">
        <f>(Лист1!P40-Лист1!P41)/((Лист1!$E$40-Лист1!$E$41)/(Лист1!AH20-Лист1!$E$41))+Лист1!P41</f>
        <v>3.450011583288342</v>
      </c>
      <c r="M1" s="11">
        <f>(Лист1!Q40-Лист1!Q41)/((Лист1!$E$40-Лист1!$E$41)/(Лист1!AI20-Лист1!$E$41))+Лист1!Q41</f>
        <v>3.9976024840385116</v>
      </c>
      <c r="N1" s="11">
        <f>(Лист1!R40-Лист1!R41)/((Лист1!$E$40-Лист1!$E$41)/(Лист1!AJ20-Лист1!$E$41))+Лист1!R41</f>
        <v>4.401100607298984</v>
      </c>
      <c r="O1" s="11">
        <f>(Лист1!S40-Лист1!S41)/((Лист1!$E$40-Лист1!$E$41)/(Лист1!AK20-Лист1!$E$41))+Лист1!S41</f>
        <v>4.7195002131680788</v>
      </c>
      <c r="P1" s="11">
        <f>(Лист1!T40-Лист1!T41)/((Лист1!$E$40-Лист1!$E$41)/(Лист1!AL20-Лист1!$E$41))+Лист1!T41</f>
        <v>5</v>
      </c>
    </row>
    <row r="2" spans="1:16" x14ac:dyDescent="0.3">
      <c r="A2" s="10" t="s">
        <v>1</v>
      </c>
      <c r="B2" s="11">
        <f>(Лист1!F48-Лист1!F49)/((Лист1!$E$48-Лист1!$E$49)/(Лист1!X20-Лист1!$E$49))+Лист1!F49</f>
        <v>-4.427923146057116E-2</v>
      </c>
      <c r="C2" s="11">
        <f>(Лист1!G48-Лист1!G49)/((Лист1!$E$48-Лист1!$E$49)/(Лист1!Y20-Лист1!$E$49))+Лист1!G49</f>
        <v>-5.4688510318197728E-2</v>
      </c>
      <c r="D2" s="11">
        <f>(Лист1!H48-Лист1!H49)/((Лист1!$E$48-Лист1!$E$49)/(Лист1!Z20-Лист1!$E$49))+Лист1!H49</f>
        <v>-9.4973873631378242E-2</v>
      </c>
      <c r="E2" s="11">
        <f>(Лист1!I48-Лист1!I49)/((Лист1!$E$48-Лист1!$E$49)/(Лист1!AA20-Лист1!$E$49))+Лист1!I49</f>
        <v>-0.19751268535579788</v>
      </c>
      <c r="F2" s="11">
        <f>(Лист1!J48-Лист1!J49)/((Лист1!$E$48-Лист1!$E$49)/(Лист1!AB20-Лист1!$E$49))+Лист1!J49</f>
        <v>-5.726556038312709</v>
      </c>
      <c r="G2" s="11">
        <f>(Лист1!K49-Лист1!K50)/((Лист1!$E$49-Лист1!$E$50)/(Лист1!AC20-Лист1!$E$50))+Лист1!K50</f>
        <v>-5.2265794288393419</v>
      </c>
      <c r="H2" s="11">
        <f>(Лист1!L51-Лист1!L51)/((Лист1!$E$50-Лист1!$E$51)/(Лист1!AD20-Лист1!$E$51))+Лист1!L51</f>
        <v>-3.9931587231634222</v>
      </c>
      <c r="I2" s="11">
        <f>(Лист1!M51-Лист1!M52)/((Лист1!$E$51-Лист1!$E$52)/(Лист1!AE20-Лист1!$E$52))+Лист1!M52</f>
        <v>-3.4016724302211494</v>
      </c>
      <c r="J2" s="11">
        <f>(Лист1!N52-Лист1!N53)/((Лист1!$E$52-Лист1!$E$53)/(Лист1!AF20-Лист1!$E$53))+Лист1!N53</f>
        <v>-2.6154988804832855</v>
      </c>
      <c r="K2" s="11">
        <f>(Лист1!O52-Лист1!O53)/((Лист1!$E$52-Лист1!$E$53)/(Лист1!AG20-Лист1!$E$53))+Лист1!O53</f>
        <v>-1.8634195358842254</v>
      </c>
      <c r="L2" s="11">
        <f>(Лист1!P53-Лист1!P54)/((Лист1!$E$53-Лист1!$E$54)/(Лист1!AH20-Лист1!$E$54))+Лист1!P54</f>
        <v>-0.66597539092033919</v>
      </c>
      <c r="M2" s="11">
        <f>(Лист1!Q53-Лист1!Q54)/((Лист1!$E$53-Лист1!$E$54)/(Лист1!AI20-Лист1!$E$54))+Лист1!Q54</f>
        <v>-0.34703874155156411</v>
      </c>
      <c r="N2" s="11">
        <f>(Лист1!R53-Лист1!R54)/((Лист1!$E$53-Лист1!$E$54)/(Лист1!AJ20-Лист1!$E$54))+Лист1!R54</f>
        <v>-0.22218637114626721</v>
      </c>
      <c r="O2" s="11">
        <f>(Лист1!S53-Лист1!S54)/((Лист1!$E$53-Лист1!$E$54)/(Лист1!AK20-Лист1!$E$54))+Лист1!S54</f>
        <v>-0.16692478959564666</v>
      </c>
      <c r="P2" s="11">
        <f>(Лист1!T53-Лист1!T54)/((Лист1!$E$53-Лист1!$E$54)/(Лист1!AL20-Лист1!$E$54))+Лист1!T54</f>
        <v>-0.14611808073889065</v>
      </c>
    </row>
    <row r="3" spans="1:16" x14ac:dyDescent="0.3">
      <c r="A3" s="10" t="s">
        <v>4</v>
      </c>
      <c r="B3" s="11">
        <f>(B1^2+B2^2)^0.5</f>
        <v>10.000098032036423</v>
      </c>
      <c r="C3" s="11">
        <f>(C1^2+C2^2)^0.5</f>
        <v>10.166084134829315</v>
      </c>
      <c r="D3" s="11">
        <f>(D1^2+D2^2)^0.5</f>
        <v>10.414893754643465</v>
      </c>
      <c r="E3" s="11">
        <f>(E1^2+E2^2)^0.5</f>
        <v>10.894762032510984</v>
      </c>
      <c r="F3" s="11">
        <f>(F1^2+F2^2)^0.5</f>
        <v>13.27366822534476</v>
      </c>
      <c r="G3" s="11">
        <f>(G1^2+G2^2)^0.5</f>
        <v>8.7619988684723999</v>
      </c>
      <c r="H3" s="11">
        <f>(H1^2+H2^2)^0.5</f>
        <v>6.6339219437360031</v>
      </c>
      <c r="I3" s="11">
        <f>(I1^2+I2^2)^0.5</f>
        <v>5.4564039461227241</v>
      </c>
      <c r="J3" s="11">
        <f>(J1^2+J2^2)^0.5</f>
        <v>4.3470130125008568</v>
      </c>
      <c r="K3" s="11">
        <f>(K1^2+K2^2)^0.5</f>
        <v>3.9048870269825704</v>
      </c>
      <c r="L3" s="11">
        <f>(L1^2+L2^2)^0.5</f>
        <v>3.5137021994095101</v>
      </c>
      <c r="M3" s="11">
        <f>(M1^2+M2^2)^0.5</f>
        <v>4.0126377245558276</v>
      </c>
      <c r="N3" s="11">
        <f>(N1^2+N2^2)^0.5</f>
        <v>4.406705497204304</v>
      </c>
      <c r="O3" s="11">
        <f>(O1^2+O2^2)^0.5</f>
        <v>4.722451285876339</v>
      </c>
      <c r="P3" s="11">
        <f>(P1^2+P2^2)^0.5</f>
        <v>5.0021345937028538</v>
      </c>
    </row>
    <row r="4" spans="1:16" x14ac:dyDescent="0.3">
      <c r="A4" s="10" t="s">
        <v>5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3">
      <c r="A5" s="10" t="s">
        <v>6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"/>
    </row>
    <row r="7" spans="1:16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9" sqref="F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</dc:creator>
  <cp:lastModifiedBy>Windows User</cp:lastModifiedBy>
  <dcterms:created xsi:type="dcterms:W3CDTF">2021-04-20T04:45:50Z</dcterms:created>
  <dcterms:modified xsi:type="dcterms:W3CDTF">2021-05-17T21:03:12Z</dcterms:modified>
</cp:coreProperties>
</file>