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НС\Desktop\"/>
    </mc:Choice>
  </mc:AlternateContent>
  <bookViews>
    <workbookView xWindow="0" yWindow="0" windowWidth="23040" windowHeight="8808" activeTab="1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M16" i="2"/>
  <c r="M17" i="2" s="1"/>
  <c r="M18" i="2" s="1"/>
  <c r="Q16" i="2"/>
  <c r="Q17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<sst xmlns="http://schemas.openxmlformats.org/spreadsheetml/2006/main" count="58" uniqueCount="25">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</sst>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01144"/>
        <c:axId val="297300360"/>
      </c:scatterChart>
      <c:valAx>
        <c:axId val="297301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97300360"/>
        <c:crosses val="autoZero"/>
        <c:crossBetween val="midCat"/>
        <c:majorUnit val="1.0000000000000002E-2"/>
      </c:valAx>
      <c:valAx>
        <c:axId val="29730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9730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99184"/>
        <c:axId val="297299968"/>
      </c:scatterChart>
      <c:valAx>
        <c:axId val="2972991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97299968"/>
        <c:crosses val="autoZero"/>
        <c:crossBetween val="midCat"/>
        <c:majorUnit val="1.0000000000000002E-2"/>
      </c:valAx>
      <c:valAx>
        <c:axId val="2972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9729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711784"/>
        <c:axId val="253712176"/>
      </c:scatterChart>
      <c:valAx>
        <c:axId val="2537117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53712176"/>
        <c:crosses val="autoZero"/>
        <c:crossBetween val="midCat"/>
        <c:majorUnit val="1.0000000000000002E-2"/>
      </c:valAx>
      <c:valAx>
        <c:axId val="253712176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53711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 cmpd="sng" algn="ctr">
              <a:solidFill>
                <a:schemeClr val="accent1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 cmpd="sng" algn="ctr">
              <a:solidFill>
                <a:schemeClr val="accent1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3592"/>
        <c:axId val="356081632"/>
      </c:scatterChart>
      <c:valAx>
        <c:axId val="3560835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1632"/>
        <c:crosses val="autoZero"/>
        <c:crossBetween val="midCat"/>
        <c:majorUnit val="1.0000000000000002E-2"/>
      </c:valAx>
      <c:valAx>
        <c:axId val="356081632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359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 cmpd="sng" algn="ctr">
              <a:solidFill>
                <a:schemeClr val="accent1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 w="19050" cap="rnd" cmpd="sng" algn="ctr">
              <a:solidFill>
                <a:schemeClr val="accent1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0456"/>
        <c:axId val="356082024"/>
      </c:scatterChart>
      <c:valAx>
        <c:axId val="3560804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2024"/>
        <c:crosses val="autoZero"/>
        <c:crossBetween val="midCat"/>
        <c:majorUnit val="1.0000000000000002E-2"/>
      </c:valAx>
      <c:valAx>
        <c:axId val="356082024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045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7512"/>
        <c:axId val="356083200"/>
      </c:scatterChart>
      <c:valAx>
        <c:axId val="3560875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3200"/>
        <c:crosses val="autoZero"/>
        <c:crossBetween val="midCat"/>
        <c:majorUnit val="1.0000000000000002E-2"/>
      </c:valAx>
      <c:valAx>
        <c:axId val="3560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5160"/>
        <c:axId val="356083984"/>
      </c:scatterChart>
      <c:valAx>
        <c:axId val="3560851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3984"/>
        <c:crosses val="autoZero"/>
        <c:crossBetween val="midCat"/>
        <c:majorUnit val="1.0000000000000002E-2"/>
      </c:valAx>
      <c:valAx>
        <c:axId val="35608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5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1240"/>
        <c:axId val="356086728"/>
      </c:scatterChart>
      <c:valAx>
        <c:axId val="3560812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6728"/>
        <c:crosses val="autoZero"/>
        <c:crossBetween val="midCat"/>
        <c:majorUnit val="1.0000000000000002E-2"/>
      </c:valAx>
      <c:valAx>
        <c:axId val="356086728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1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 cmpd="sng" algn="ctr">
              <a:solidFill>
                <a:schemeClr val="accent1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 cmpd="sng" algn="ctr">
              <a:solidFill>
                <a:schemeClr val="accent1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2416"/>
        <c:axId val="356086336"/>
      </c:scatterChart>
      <c:valAx>
        <c:axId val="35608241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6336"/>
        <c:crosses val="autoZero"/>
        <c:crossBetween val="midCat"/>
        <c:majorUnit val="1.0000000000000002E-2"/>
      </c:valAx>
      <c:valAx>
        <c:axId val="35608633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241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 cmpd="sng" algn="ctr">
              <a:solidFill>
                <a:schemeClr val="accent1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 w="19050" cap="rnd" cmpd="sng" algn="ctr">
              <a:solidFill>
                <a:schemeClr val="accent1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082808"/>
        <c:axId val="356562176"/>
      </c:scatterChart>
      <c:valAx>
        <c:axId val="3560828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562176"/>
        <c:crosses val="autoZero"/>
        <c:crossBetween val="midCat"/>
        <c:majorUnit val="1.0000000000000002E-2"/>
      </c:valAx>
      <c:valAx>
        <c:axId val="356562176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5608280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223155</xdr:colOff>
      <xdr:row>23</xdr:row>
      <xdr:rowOff>137432</xdr:rowOff>
    </xdr:from>
    <xdr:to>
      <xdr:col>7</xdr:col>
      <xdr:colOff>232680</xdr:colOff>
      <xdr:row>44</xdr:row>
      <xdr:rowOff>99332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473528</xdr:colOff>
      <xdr:row>30</xdr:row>
      <xdr:rowOff>130628</xdr:rowOff>
    </xdr:from>
    <xdr:to>
      <xdr:col>25</xdr:col>
      <xdr:colOff>23131</xdr:colOff>
      <xdr:row>55</xdr:row>
      <xdr:rowOff>131989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29"/>
  <sheetViews>
    <sheetView zoomScale="70" zoomScaleNormal="70" workbookViewId="0">
      <selection activeCell="U17" sqref="U17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57.361770732970903</v>
      </c>
      <c r="H5" s="10">
        <v>63.55893647553463</v>
      </c>
      <c r="I5" s="10">
        <v>70.828855833440514</v>
      </c>
      <c r="J5" s="10">
        <v>79.421668839555522</v>
      </c>
      <c r="K5" s="10">
        <v>89.677106167680876</v>
      </c>
      <c r="L5" s="10">
        <v>102.05150505930324</v>
      </c>
      <c r="M5" s="10">
        <v>117.16960557841188</v>
      </c>
      <c r="N5" s="10">
        <v>135.90540256665204</v>
      </c>
      <c r="O5" s="10">
        <v>159.51222826440323</v>
      </c>
      <c r="P5" s="10">
        <v>189.8393627020636</v>
      </c>
      <c r="Q5" s="10">
        <v>229.70732955548328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133050.45415058901</v>
      </c>
      <c r="H6" s="10">
        <v>132583.67182289076</v>
      </c>
      <c r="I6" s="10">
        <v>131973.45583551101</v>
      </c>
      <c r="J6" s="10">
        <v>131164.70440047697</v>
      </c>
      <c r="K6" s="10">
        <v>130074.84097772367</v>
      </c>
      <c r="L6" s="10">
        <v>128578.34703624115</v>
      </c>
      <c r="M6" s="10">
        <v>126479.21849325717</v>
      </c>
      <c r="N6" s="10">
        <v>123461.82474043293</v>
      </c>
      <c r="O6" s="10">
        <v>118999.59303076175</v>
      </c>
      <c r="P6" s="10">
        <v>112177.19821167205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1.3666963331192272</v>
      </c>
      <c r="H9" s="7">
        <f>H4*H7*H12</f>
        <v>1.3667003714783417</v>
      </c>
      <c r="I9" s="7">
        <f t="shared" ref="I9:Q9" si="3">I4*I7*I12</f>
        <v>1.3669251884098725</v>
      </c>
      <c r="J9" s="7">
        <f t="shared" si="3"/>
        <v>1.3671817912822168</v>
      </c>
      <c r="K9" s="7">
        <f t="shared" si="3"/>
        <v>1.3674478827502272</v>
      </c>
      <c r="L9" s="7">
        <f t="shared" si="3"/>
        <v>1.36770026588791</v>
      </c>
      <c r="M9" s="7">
        <f t="shared" si="3"/>
        <v>1.3679171440280218</v>
      </c>
      <c r="N9" s="7">
        <f t="shared" si="3"/>
        <v>1.3680814635648844</v>
      </c>
      <c r="O9" s="7">
        <f t="shared" si="3"/>
        <v>1.3681850539064733</v>
      </c>
      <c r="P9" s="7">
        <f t="shared" si="3"/>
        <v>1.3682325297172326</v>
      </c>
      <c r="Q9" s="7">
        <f t="shared" si="3"/>
        <v>1.3682425610246536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-2.3164811390438144E-4</v>
      </c>
      <c r="H10" s="16">
        <f>(H12)*(H9-I9)</f>
        <v>-1.4289167291770162E-2</v>
      </c>
      <c r="I10" s="16">
        <f t="shared" ref="I10:P10" si="4">(I12)*(I9-J9)</f>
        <v>-1.817494243035182E-2</v>
      </c>
      <c r="J10" s="16">
        <f t="shared" si="4"/>
        <v>-2.1133487274772357E-2</v>
      </c>
      <c r="K10" s="16">
        <f t="shared" si="4"/>
        <v>-2.2633042942868973E-2</v>
      </c>
      <c r="L10" s="16">
        <f t="shared" si="4"/>
        <v>-2.2132781049266841E-2</v>
      </c>
      <c r="M10" s="16">
        <f t="shared" si="4"/>
        <v>-1.9253279596606658E-2</v>
      </c>
      <c r="N10" s="16">
        <f t="shared" si="4"/>
        <v>-1.4078497674358457E-2</v>
      </c>
      <c r="O10" s="16">
        <f t="shared" si="4"/>
        <v>-7.5729751918951213E-3</v>
      </c>
      <c r="P10" s="16">
        <f t="shared" si="4"/>
        <v>-1.9043373072512412E-3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57.361940169170005</v>
      </c>
      <c r="H12" s="5">
        <f>((G6-H6)/H7+G5*H5)^0.5</f>
        <v>63.559124281563086</v>
      </c>
      <c r="I12" s="5">
        <f t="shared" ref="I12:Q12" si="5">((H6-I6)/I7+H5*I5)^0.5</f>
        <v>70.82906853032101</v>
      </c>
      <c r="J12" s="5">
        <f t="shared" si="5"/>
        <v>79.421889896703618</v>
      </c>
      <c r="K12" s="5">
        <f t="shared" si="5"/>
        <v>89.677318186414354</v>
      </c>
      <c r="L12" s="5">
        <f t="shared" si="5"/>
        <v>102.0516915068732</v>
      </c>
      <c r="M12" s="5">
        <f t="shared" si="5"/>
        <v>117.16975330029275</v>
      </c>
      <c r="N12" s="5">
        <f t="shared" si="5"/>
        <v>135.90550488025008</v>
      </c>
      <c r="O12" s="5">
        <f t="shared" si="5"/>
        <v>159.51228785283837</v>
      </c>
      <c r="P12" s="5">
        <f t="shared" si="5"/>
        <v>189.83939254770934</v>
      </c>
      <c r="Q12" s="5">
        <f t="shared" si="5"/>
        <v>229.70734908838384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2101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286.52201432296459</v>
      </c>
      <c r="H16" s="3">
        <f t="shared" ref="H16:Q16" si="7">$C$11-(H12^2)/(2*$C$8)</f>
        <v>286.14897140814179</v>
      </c>
      <c r="I16" s="3">
        <f t="shared" si="7"/>
        <v>285.66261501427073</v>
      </c>
      <c r="J16" s="3">
        <f t="shared" si="7"/>
        <v>285.01990440343405</v>
      </c>
      <c r="K16" s="3">
        <f t="shared" si="7"/>
        <v>284.15661221447817</v>
      </c>
      <c r="L16" s="3">
        <f t="shared" si="7"/>
        <v>282.97554808761134</v>
      </c>
      <c r="M16" s="3">
        <f t="shared" si="7"/>
        <v>281.32570900473547</v>
      </c>
      <c r="N16" s="3">
        <f t="shared" si="7"/>
        <v>278.96532184486114</v>
      </c>
      <c r="O16" s="3">
        <f t="shared" si="7"/>
        <v>275.49367218700945</v>
      </c>
      <c r="P16" s="3">
        <f t="shared" si="7"/>
        <v>270.21947670211568</v>
      </c>
      <c r="Q16" s="3">
        <f t="shared" si="7"/>
        <v>261.89289468499038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">
        <f t="shared" si="8"/>
        <v>324.37370251448789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0.16906785949336325</v>
      </c>
      <c r="H18" s="3">
        <f t="shared" ref="H18:Q18" si="9">H12/H17</f>
        <v>0.18745543221069297</v>
      </c>
      <c r="I18" s="3">
        <f t="shared" si="9"/>
        <v>0.20907449026547001</v>
      </c>
      <c r="J18" s="3">
        <f t="shared" si="9"/>
        <v>0.23470310874711103</v>
      </c>
      <c r="K18" s="3">
        <f t="shared" si="9"/>
        <v>0.26541162981987654</v>
      </c>
      <c r="L18" s="3">
        <f t="shared" si="9"/>
        <v>0.30266483990438142</v>
      </c>
      <c r="M18" s="3">
        <f t="shared" si="9"/>
        <v>0.34851945354039338</v>
      </c>
      <c r="N18" s="3">
        <f t="shared" si="9"/>
        <v>0.40595524641638442</v>
      </c>
      <c r="O18" s="3">
        <f t="shared" si="9"/>
        <v>0.47946239452582506</v>
      </c>
      <c r="P18" s="3">
        <f t="shared" si="9"/>
        <v>0.57616149533036087</v>
      </c>
      <c r="Q18" s="3">
        <f t="shared" si="9"/>
        <v>0.7081565099381758</v>
      </c>
    </row>
    <row r="19" spans="2:2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3">
      <c r="B20" s="2"/>
      <c r="C20" s="2"/>
      <c r="D20" s="2"/>
      <c r="E20" s="2"/>
      <c r="F20" s="21" t="s">
        <v>20</v>
      </c>
      <c r="G20" s="21">
        <f>1-((($C$6-1)/($C$6+1))*G21^2)</f>
        <v>0.99459235536867718</v>
      </c>
      <c r="H20" s="21">
        <f t="shared" ref="H20:Q20" si="10">1-((($C$6-1)/($C$6+1))*H21^2)</f>
        <v>0.9934335745165318</v>
      </c>
      <c r="I20" s="21">
        <f t="shared" si="10"/>
        <v>0.99196042555157893</v>
      </c>
      <c r="J20" s="21">
        <f t="shared" si="10"/>
        <v>0.99007620549130937</v>
      </c>
      <c r="K20" s="21">
        <f t="shared" si="10"/>
        <v>0.98765112516205777</v>
      </c>
      <c r="L20" s="21">
        <f t="shared" si="10"/>
        <v>0.98451570733030835</v>
      </c>
      <c r="M20" s="21">
        <f t="shared" si="10"/>
        <v>0.9804549489867217</v>
      </c>
      <c r="N20" s="21">
        <f t="shared" si="10"/>
        <v>0.97521062787936008</v>
      </c>
      <c r="O20" s="21">
        <f t="shared" si="10"/>
        <v>0.96850401863499058</v>
      </c>
      <c r="P20" s="21">
        <f t="shared" si="10"/>
        <v>0.96009889378496471</v>
      </c>
      <c r="Q20" s="21">
        <f t="shared" si="10"/>
        <v>0.94992582806459369</v>
      </c>
    </row>
    <row r="21" spans="2:22" x14ac:dyDescent="0.3">
      <c r="B21" s="2"/>
      <c r="C21" s="2"/>
      <c r="D21" s="2"/>
      <c r="E21" s="2"/>
      <c r="F21" s="21" t="s">
        <v>19</v>
      </c>
      <c r="G21" s="21">
        <f>SQRT(((($C$6+1)/2)*G18^2)/(1+2*G18^2))</f>
        <v>0.18012736546104449</v>
      </c>
      <c r="H21" s="21">
        <f t="shared" ref="H21:Q21" si="11">SQRT(((($C$6+1)/2)*H18^2)/(1+2*H18^2))</f>
        <v>0.19849068718911952</v>
      </c>
      <c r="I21" s="21">
        <f t="shared" si="11"/>
        <v>0.21963024994414249</v>
      </c>
      <c r="J21" s="21">
        <f t="shared" si="11"/>
        <v>0.24401386651611354</v>
      </c>
      <c r="K21" s="21">
        <f t="shared" si="11"/>
        <v>0.27220075133557836</v>
      </c>
      <c r="L21" s="21">
        <f t="shared" si="11"/>
        <v>0.30480445537778816</v>
      </c>
      <c r="M21" s="21">
        <f t="shared" si="11"/>
        <v>0.3424475231034233</v>
      </c>
      <c r="N21" s="21">
        <f t="shared" si="11"/>
        <v>0.38566336710120586</v>
      </c>
      <c r="O21" s="21">
        <f t="shared" si="11"/>
        <v>0.43471357028514379</v>
      </c>
      <c r="P21" s="21">
        <f t="shared" si="11"/>
        <v>0.48929197550155235</v>
      </c>
      <c r="Q21" s="21">
        <f t="shared" si="11"/>
        <v>0.54812866337424626</v>
      </c>
    </row>
    <row r="22" spans="2:22" x14ac:dyDescent="0.3">
      <c r="B22" s="2"/>
      <c r="C22" s="2"/>
      <c r="D22" s="2"/>
      <c r="E22" s="2"/>
      <c r="F22" s="21" t="s">
        <v>21</v>
      </c>
      <c r="G22" s="21">
        <f>(1-((($C$6-1)/($C$6+1))*G21^2))^($C$6/($C$6-1))</f>
        <v>0.98120083457136054</v>
      </c>
      <c r="H22" s="21">
        <f t="shared" ref="H22:Q22" si="12">(1-((($C$6-1)/($C$6+1))*H21^2))^($C$6/($C$6-1))</f>
        <v>0.97720553297139401</v>
      </c>
      <c r="I22" s="21">
        <f t="shared" si="12"/>
        <v>0.97214313093338578</v>
      </c>
      <c r="J22" s="21">
        <f t="shared" si="12"/>
        <v>0.96569544143026032</v>
      </c>
      <c r="K22" s="21">
        <f t="shared" si="12"/>
        <v>0.95744198942442293</v>
      </c>
      <c r="L22" s="21">
        <f t="shared" si="12"/>
        <v>0.94684583468535755</v>
      </c>
      <c r="M22" s="21">
        <f t="shared" si="12"/>
        <v>0.93324731817462836</v>
      </c>
      <c r="N22" s="21">
        <f t="shared" si="12"/>
        <v>0.91589247229469972</v>
      </c>
      <c r="O22" s="21">
        <f t="shared" si="12"/>
        <v>0.89403597527738221</v>
      </c>
      <c r="P22" s="21">
        <f t="shared" si="12"/>
        <v>0.86717328992627773</v>
      </c>
      <c r="Q22" s="21">
        <f t="shared" si="12"/>
        <v>0.83543744419327803</v>
      </c>
    </row>
    <row r="23" spans="2:22" x14ac:dyDescent="0.3">
      <c r="B23" s="2"/>
      <c r="C23" s="2"/>
      <c r="D23" s="2"/>
      <c r="E23" s="2"/>
      <c r="F23" s="21" t="s">
        <v>5</v>
      </c>
      <c r="G23" s="21">
        <f>G14/G22</f>
        <v>1.2077038239757201</v>
      </c>
      <c r="H23" s="21">
        <f t="shared" ref="H23:Q23" si="13">H14/H22</f>
        <v>1.2126415170785663</v>
      </c>
      <c r="I23" s="21">
        <f t="shared" si="13"/>
        <v>1.2189563062203028</v>
      </c>
      <c r="J23" s="21">
        <f t="shared" si="13"/>
        <v>1.2270949506036135</v>
      </c>
      <c r="K23" s="21">
        <f t="shared" si="13"/>
        <v>1.237672896205833</v>
      </c>
      <c r="L23" s="21">
        <f t="shared" si="13"/>
        <v>1.2515236975127872</v>
      </c>
      <c r="M23" s="21">
        <f t="shared" si="13"/>
        <v>1.2697598770685821</v>
      </c>
      <c r="N23" s="21">
        <f t="shared" si="13"/>
        <v>1.293820001633021</v>
      </c>
      <c r="O23" s="21">
        <f t="shared" si="13"/>
        <v>1.325450018532357</v>
      </c>
      <c r="P23" s="21">
        <f t="shared" si="13"/>
        <v>1.3665088786357134</v>
      </c>
      <c r="Q23" s="21">
        <f t="shared" si="13"/>
        <v>1.418418588053914</v>
      </c>
    </row>
    <row r="26" spans="2:22" x14ac:dyDescent="0.3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3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3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3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V24"/>
  <sheetViews>
    <sheetView tabSelected="1" zoomScale="80" zoomScaleNormal="80" workbookViewId="0">
      <selection activeCell="U58" sqref="U57:U58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3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3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3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3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Windows User</cp:lastModifiedBy>
  <dcterms:created xsi:type="dcterms:W3CDTF">2021-05-18T04:26:27Z</dcterms:created>
  <dcterms:modified xsi:type="dcterms:W3CDTF">2021-05-24T21:33:18Z</dcterms:modified>
</cp:coreProperties>
</file>